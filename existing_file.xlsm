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Yicong\OneDrive\Documents\海岛奇兵\"/>
    </mc:Choice>
  </mc:AlternateContent>
  <bookViews>
    <workbookView xWindow="600" yWindow="105" windowWidth="19395" windowHeight="7605"/>
  </bookViews>
  <sheets>
    <sheet name="Sheet1" sheetId="1" r:id="rId1"/>
  </sheets>
  <definedNames>
    <definedName name="_xlnm._FilterDatabase" localSheetId="0" hidden="1">Sheet1!$A$2:$A$47</definedName>
    <definedName name="getcell">GET.CELL(63,Sheet1!XEO1)</definedName>
  </definedNames>
  <calcPr calcId="162913"/>
</workbook>
</file>

<file path=xl/calcChain.xml><?xml version="1.0" encoding="utf-8"?>
<calcChain xmlns="http://schemas.openxmlformats.org/spreadsheetml/2006/main">
  <c r="F25" i="1" l="1"/>
  <c r="F26" i="1"/>
  <c r="K26" i="1" s="1"/>
  <c r="K24" i="1"/>
  <c r="F24" i="1"/>
  <c r="K3" i="1"/>
  <c r="K17" i="1"/>
  <c r="K11" i="1"/>
  <c r="K6" i="1"/>
  <c r="K5" i="1"/>
  <c r="K10" i="1"/>
  <c r="K8" i="1"/>
  <c r="K9" i="1"/>
  <c r="Q10" i="1" l="1"/>
  <c r="Y10" i="1"/>
  <c r="V11" i="1"/>
  <c r="S12" i="1"/>
  <c r="AA12" i="1"/>
  <c r="X13" i="1"/>
  <c r="U14" i="1"/>
  <c r="R15" i="1"/>
  <c r="Z15" i="1"/>
  <c r="W16" i="1"/>
  <c r="T17" i="1"/>
  <c r="Q18" i="1"/>
  <c r="Y18" i="1"/>
  <c r="V19" i="1"/>
  <c r="S20" i="1"/>
  <c r="AA20" i="1"/>
  <c r="X21" i="1"/>
  <c r="U22" i="1"/>
  <c r="R23" i="1"/>
  <c r="Z23" i="1"/>
  <c r="W24" i="1"/>
  <c r="T25" i="1"/>
  <c r="Q26" i="1"/>
  <c r="Y26" i="1"/>
  <c r="V27" i="1"/>
  <c r="S28" i="1"/>
  <c r="AA28" i="1"/>
  <c r="Q22" i="1"/>
  <c r="AA24" i="1"/>
  <c r="Z27" i="1"/>
  <c r="R12" i="1"/>
  <c r="Y15" i="1"/>
  <c r="U19" i="1"/>
  <c r="Q23" i="1"/>
  <c r="X26" i="1"/>
  <c r="R10" i="1"/>
  <c r="Z10" i="1"/>
  <c r="W11" i="1"/>
  <c r="T12" i="1"/>
  <c r="Q13" i="1"/>
  <c r="Y13" i="1"/>
  <c r="V14" i="1"/>
  <c r="S15" i="1"/>
  <c r="AA15" i="1"/>
  <c r="X16" i="1"/>
  <c r="U17" i="1"/>
  <c r="R18" i="1"/>
  <c r="Z18" i="1"/>
  <c r="W19" i="1"/>
  <c r="T20" i="1"/>
  <c r="Q21" i="1"/>
  <c r="Y21" i="1"/>
  <c r="V22" i="1"/>
  <c r="S23" i="1"/>
  <c r="AA23" i="1"/>
  <c r="X24" i="1"/>
  <c r="U25" i="1"/>
  <c r="R26" i="1"/>
  <c r="Z26" i="1"/>
  <c r="W27" i="1"/>
  <c r="T28" i="1"/>
  <c r="Z16" i="1"/>
  <c r="Y19" i="1"/>
  <c r="AA21" i="1"/>
  <c r="U23" i="1"/>
  <c r="W25" i="1"/>
  <c r="Q27" i="1"/>
  <c r="V28" i="1"/>
  <c r="Z11" i="1"/>
  <c r="Q14" i="1"/>
  <c r="S16" i="1"/>
  <c r="U18" i="1"/>
  <c r="W20" i="1"/>
  <c r="V23" i="1"/>
  <c r="R27" i="1"/>
  <c r="Q28" i="1"/>
  <c r="Z12" i="1"/>
  <c r="Q15" i="1"/>
  <c r="X18" i="1"/>
  <c r="T22" i="1"/>
  <c r="S25" i="1"/>
  <c r="Z28" i="1"/>
  <c r="S10" i="1"/>
  <c r="AA10" i="1"/>
  <c r="X11" i="1"/>
  <c r="U12" i="1"/>
  <c r="R13" i="1"/>
  <c r="Z13" i="1"/>
  <c r="W14" i="1"/>
  <c r="T15" i="1"/>
  <c r="Q16" i="1"/>
  <c r="Y16" i="1"/>
  <c r="V17" i="1"/>
  <c r="S18" i="1"/>
  <c r="AA18" i="1"/>
  <c r="X19" i="1"/>
  <c r="U20" i="1"/>
  <c r="R21" i="1"/>
  <c r="Z21" i="1"/>
  <c r="W22" i="1"/>
  <c r="T23" i="1"/>
  <c r="Q24" i="1"/>
  <c r="Y24" i="1"/>
  <c r="V25" i="1"/>
  <c r="S26" i="1"/>
  <c r="AA26" i="1"/>
  <c r="X27" i="1"/>
  <c r="U28" i="1"/>
  <c r="T18" i="1"/>
  <c r="S21" i="1"/>
  <c r="R24" i="1"/>
  <c r="T26" i="1"/>
  <c r="U10" i="1"/>
  <c r="T13" i="1"/>
  <c r="V15" i="1"/>
  <c r="X17" i="1"/>
  <c r="Z19" i="1"/>
  <c r="Y22" i="1"/>
  <c r="X25" i="1"/>
  <c r="X10" i="1"/>
  <c r="T14" i="1"/>
  <c r="AA17" i="1"/>
  <c r="Z20" i="1"/>
  <c r="V24" i="1"/>
  <c r="R28" i="1"/>
  <c r="T10" i="1"/>
  <c r="Q11" i="1"/>
  <c r="Y11" i="1"/>
  <c r="V12" i="1"/>
  <c r="S13" i="1"/>
  <c r="AA13" i="1"/>
  <c r="X14" i="1"/>
  <c r="U15" i="1"/>
  <c r="R16" i="1"/>
  <c r="W17" i="1"/>
  <c r="Q19" i="1"/>
  <c r="V20" i="1"/>
  <c r="X22" i="1"/>
  <c r="Z24" i="1"/>
  <c r="Y27" i="1"/>
  <c r="R11" i="1"/>
  <c r="W12" i="1"/>
  <c r="Y14" i="1"/>
  <c r="AA16" i="1"/>
  <c r="R19" i="1"/>
  <c r="T21" i="1"/>
  <c r="S24" i="1"/>
  <c r="U26" i="1"/>
  <c r="W28" i="1"/>
  <c r="U11" i="1"/>
  <c r="V16" i="1"/>
  <c r="R20" i="1"/>
  <c r="Y23" i="1"/>
  <c r="U27" i="1"/>
  <c r="V10" i="1"/>
  <c r="S11" i="1"/>
  <c r="AA11" i="1"/>
  <c r="X12" i="1"/>
  <c r="U13" i="1"/>
  <c r="R14" i="1"/>
  <c r="Z14" i="1"/>
  <c r="W15" i="1"/>
  <c r="T16" i="1"/>
  <c r="Q17" i="1"/>
  <c r="Y17" i="1"/>
  <c r="V18" i="1"/>
  <c r="S19" i="1"/>
  <c r="AA19" i="1"/>
  <c r="X20" i="1"/>
  <c r="U21" i="1"/>
  <c r="R22" i="1"/>
  <c r="Z22" i="1"/>
  <c r="W23" i="1"/>
  <c r="T24" i="1"/>
  <c r="Q25" i="1"/>
  <c r="Y25" i="1"/>
  <c r="V26" i="1"/>
  <c r="S27" i="1"/>
  <c r="AA27" i="1"/>
  <c r="X28" i="1"/>
  <c r="W10" i="1"/>
  <c r="T11" i="1"/>
  <c r="Q12" i="1"/>
  <c r="Y12" i="1"/>
  <c r="V13" i="1"/>
  <c r="S14" i="1"/>
  <c r="AA14" i="1"/>
  <c r="X15" i="1"/>
  <c r="U16" i="1"/>
  <c r="R17" i="1"/>
  <c r="Z17" i="1"/>
  <c r="W18" i="1"/>
  <c r="T19" i="1"/>
  <c r="Q20" i="1"/>
  <c r="Y20" i="1"/>
  <c r="V21" i="1"/>
  <c r="S22" i="1"/>
  <c r="AA22" i="1"/>
  <c r="X23" i="1"/>
  <c r="U24" i="1"/>
  <c r="R25" i="1"/>
  <c r="Z25" i="1"/>
  <c r="W26" i="1"/>
  <c r="T27" i="1"/>
  <c r="Y28" i="1"/>
  <c r="W13" i="1"/>
  <c r="S17" i="1"/>
  <c r="W21" i="1"/>
  <c r="AA25" i="1"/>
  <c r="R9" i="1"/>
  <c r="T9" i="1"/>
  <c r="U9" i="1"/>
  <c r="W9" i="1"/>
  <c r="V9" i="1"/>
  <c r="X9" i="1"/>
  <c r="Y9" i="1"/>
  <c r="Z9" i="1"/>
  <c r="S9" i="1"/>
  <c r="AA9" i="1"/>
  <c r="Q4" i="1"/>
  <c r="Y4" i="1"/>
  <c r="V5" i="1"/>
  <c r="S6" i="1"/>
  <c r="AA6" i="1"/>
  <c r="X7" i="1"/>
  <c r="U8" i="1"/>
  <c r="R6" i="1"/>
  <c r="R4" i="1"/>
  <c r="Z4" i="1"/>
  <c r="W5" i="1"/>
  <c r="T6" i="1"/>
  <c r="Q7" i="1"/>
  <c r="Y7" i="1"/>
  <c r="V8" i="1"/>
  <c r="Q9" i="1"/>
  <c r="S4" i="1"/>
  <c r="AA4" i="1"/>
  <c r="X5" i="1"/>
  <c r="U6" i="1"/>
  <c r="R7" i="1"/>
  <c r="Z7" i="1"/>
  <c r="W8" i="1"/>
  <c r="X4" i="1"/>
  <c r="T4" i="1"/>
  <c r="Q5" i="1"/>
  <c r="Y5" i="1"/>
  <c r="V6" i="1"/>
  <c r="S7" i="1"/>
  <c r="AA7" i="1"/>
  <c r="X8" i="1"/>
  <c r="U5" i="1"/>
  <c r="U4" i="1"/>
  <c r="R5" i="1"/>
  <c r="Z5" i="1"/>
  <c r="W6" i="1"/>
  <c r="T7" i="1"/>
  <c r="Q8" i="1"/>
  <c r="Y8" i="1"/>
  <c r="Z6" i="1"/>
  <c r="V4" i="1"/>
  <c r="S5" i="1"/>
  <c r="AA5" i="1"/>
  <c r="X6" i="1"/>
  <c r="U7" i="1"/>
  <c r="R8" i="1"/>
  <c r="Z8" i="1"/>
  <c r="T8" i="1"/>
  <c r="W4" i="1"/>
  <c r="T5" i="1"/>
  <c r="Q6" i="1"/>
  <c r="Y6" i="1"/>
  <c r="V7" i="1"/>
  <c r="S8" i="1"/>
  <c r="AA8" i="1"/>
  <c r="W7" i="1"/>
  <c r="R3" i="1"/>
  <c r="Z3" i="1"/>
  <c r="T3" i="1"/>
  <c r="U3" i="1"/>
  <c r="V3" i="1"/>
  <c r="AA3" i="1"/>
  <c r="W3" i="1"/>
  <c r="X3" i="1"/>
  <c r="Y3" i="1"/>
  <c r="S3" i="1"/>
  <c r="K38" i="1" l="1"/>
  <c r="F9" i="1" l="1"/>
  <c r="F13" i="1" l="1"/>
  <c r="K13" i="1" s="1"/>
  <c r="F21" i="1" l="1"/>
  <c r="K21" i="1" s="1"/>
  <c r="Q3" i="1"/>
  <c r="F16" i="1" l="1"/>
  <c r="F4" i="1" l="1"/>
  <c r="K4" i="1" s="1"/>
  <c r="F8" i="1" l="1"/>
  <c r="F5" i="1"/>
  <c r="F17" i="1"/>
  <c r="F7" i="1"/>
  <c r="K7" i="1" s="1"/>
  <c r="F20" i="1"/>
  <c r="K20" i="1" s="1"/>
  <c r="F6" i="1"/>
  <c r="F12" i="1"/>
  <c r="K12" i="1" s="1"/>
  <c r="F18" i="1"/>
  <c r="K18" i="1" s="1"/>
  <c r="F14" i="1"/>
  <c r="K14" i="1" s="1"/>
  <c r="F19" i="1"/>
  <c r="K19" i="1" s="1"/>
  <c r="F15" i="1"/>
  <c r="K15" i="1" s="1"/>
  <c r="F11" i="1"/>
  <c r="F22" i="1"/>
  <c r="K22" i="1" s="1"/>
  <c r="K25" i="1"/>
  <c r="F23" i="1"/>
  <c r="K23" i="1" s="1"/>
  <c r="F10" i="1"/>
  <c r="K47" i="1" l="1"/>
  <c r="K48" i="1"/>
  <c r="K50" i="1"/>
  <c r="K51" i="1"/>
  <c r="F3" i="1" l="1"/>
  <c r="A110" i="1"/>
  <c r="A56" i="1"/>
  <c r="I56" i="1"/>
  <c r="I16" i="1" s="1"/>
  <c r="P1" i="1"/>
  <c r="B56" i="1"/>
  <c r="D56" i="1"/>
  <c r="D16" i="1" s="1"/>
  <c r="G56" i="1"/>
  <c r="G16" i="1" s="1"/>
  <c r="E56" i="1"/>
  <c r="E16" i="1" s="1"/>
  <c r="H56" i="1"/>
  <c r="H16" i="1" s="1"/>
  <c r="K56" i="1"/>
  <c r="K16" i="1" s="1"/>
  <c r="B16" i="1" l="1"/>
  <c r="B29" i="1"/>
  <c r="A16" i="1"/>
  <c r="A29" i="1"/>
  <c r="K29" i="1" l="1"/>
</calcChain>
</file>

<file path=xl/sharedStrings.xml><?xml version="1.0" encoding="utf-8"?>
<sst xmlns="http://schemas.openxmlformats.org/spreadsheetml/2006/main" count="123" uniqueCount="110">
  <si>
    <t>马大大</t>
    <phoneticPr fontId="1" type="noConversion"/>
  </si>
  <si>
    <t>丢丢</t>
    <phoneticPr fontId="1" type="noConversion"/>
  </si>
  <si>
    <t>莫洛晴</t>
    <phoneticPr fontId="1" type="noConversion"/>
  </si>
  <si>
    <t>Ash</t>
    <phoneticPr fontId="1" type="noConversion"/>
  </si>
  <si>
    <t>专杀奥特曼</t>
    <phoneticPr fontId="1" type="noConversion"/>
  </si>
  <si>
    <t>我是第二就没有第一</t>
    <phoneticPr fontId="1" type="noConversion"/>
  </si>
  <si>
    <t>疯子</t>
    <phoneticPr fontId="1" type="noConversion"/>
  </si>
  <si>
    <t>静渊</t>
    <phoneticPr fontId="1" type="noConversion"/>
  </si>
  <si>
    <t>开着火车去你家</t>
    <phoneticPr fontId="1" type="noConversion"/>
  </si>
  <si>
    <t>上周情报值</t>
    <phoneticPr fontId="1" type="noConversion"/>
  </si>
  <si>
    <t>指挥官</t>
    <phoneticPr fontId="1" type="noConversion"/>
  </si>
  <si>
    <t>副指挥官</t>
    <phoneticPr fontId="1" type="noConversion"/>
  </si>
  <si>
    <t>军官</t>
    <phoneticPr fontId="1" type="noConversion"/>
  </si>
  <si>
    <t>升职</t>
    <phoneticPr fontId="1" type="noConversion"/>
  </si>
  <si>
    <t>降职</t>
    <phoneticPr fontId="1" type="noConversion"/>
  </si>
  <si>
    <t>Vampire</t>
    <phoneticPr fontId="1" type="noConversion"/>
  </si>
  <si>
    <t>淘汰</t>
    <phoneticPr fontId="1" type="noConversion"/>
  </si>
  <si>
    <t>警告</t>
    <phoneticPr fontId="1" type="noConversion"/>
  </si>
  <si>
    <t>特殊记录</t>
    <phoneticPr fontId="1" type="noConversion"/>
  </si>
  <si>
    <t>定期奖惩机制</t>
    <phoneticPr fontId="1" type="noConversion"/>
  </si>
  <si>
    <t>奖励名单</t>
    <phoneticPr fontId="1" type="noConversion"/>
  </si>
  <si>
    <t>惩罚名单</t>
    <phoneticPr fontId="1" type="noConversion"/>
  </si>
  <si>
    <t>图例</t>
    <phoneticPr fontId="1" type="noConversion"/>
  </si>
  <si>
    <t>—</t>
    <phoneticPr fontId="1" type="noConversion"/>
  </si>
  <si>
    <t>Master\周</t>
    <phoneticPr fontId="1" type="noConversion"/>
  </si>
  <si>
    <t>萌小呆</t>
    <phoneticPr fontId="1" type="noConversion"/>
  </si>
  <si>
    <t>如虎如貔</t>
    <phoneticPr fontId="1" type="noConversion"/>
  </si>
  <si>
    <t>smwyi</t>
    <phoneticPr fontId="1" type="noConversion"/>
  </si>
  <si>
    <t>Emperor、帝</t>
    <phoneticPr fontId="1" type="noConversion"/>
  </si>
  <si>
    <t>兔Star</t>
    <phoneticPr fontId="1" type="noConversion"/>
  </si>
  <si>
    <t>天意sxz</t>
    <phoneticPr fontId="1" type="noConversion"/>
  </si>
  <si>
    <t>小飞</t>
    <phoneticPr fontId="1" type="noConversion"/>
  </si>
  <si>
    <t>aman</t>
    <phoneticPr fontId="1" type="noConversion"/>
  </si>
  <si>
    <t>小强</t>
    <phoneticPr fontId="1" type="noConversion"/>
  </si>
  <si>
    <t>秋少云</t>
    <phoneticPr fontId="1" type="noConversion"/>
  </si>
  <si>
    <t>寒烟翠</t>
    <phoneticPr fontId="1" type="noConversion"/>
  </si>
  <si>
    <t>得分</t>
    <phoneticPr fontId="1" type="noConversion"/>
  </si>
  <si>
    <t>参战率</t>
    <phoneticPr fontId="1" type="noConversion"/>
  </si>
  <si>
    <t>爱在偶然</t>
    <phoneticPr fontId="1" type="noConversion"/>
  </si>
  <si>
    <t>11.12主退</t>
    <phoneticPr fontId="1" type="noConversion"/>
  </si>
  <si>
    <t>牌数</t>
    <phoneticPr fontId="1" type="noConversion"/>
  </si>
  <si>
    <t>玩家名称</t>
    <phoneticPr fontId="1" type="noConversion"/>
  </si>
  <si>
    <t>新人筛选规则（新人须知）</t>
    <phoneticPr fontId="1" type="noConversion"/>
  </si>
  <si>
    <t>11.14主退</t>
    <phoneticPr fontId="1" type="noConversion"/>
  </si>
  <si>
    <t>飞虎特遣队☆冷血</t>
    <phoneticPr fontId="1" type="noConversion"/>
  </si>
  <si>
    <t>11.17主退</t>
    <phoneticPr fontId="1" type="noConversion"/>
  </si>
  <si>
    <t>级别</t>
    <phoneticPr fontId="1" type="noConversion"/>
  </si>
  <si>
    <t>姜大龙</t>
    <phoneticPr fontId="1" type="noConversion"/>
  </si>
  <si>
    <t>不诉离殇</t>
    <phoneticPr fontId="1" type="noConversion"/>
  </si>
  <si>
    <t>复位修正</t>
    <phoneticPr fontId="1" type="noConversion"/>
  </si>
  <si>
    <t>未名#</t>
    <phoneticPr fontId="1" type="noConversion"/>
  </si>
  <si>
    <t>11.10淘汰</t>
    <phoneticPr fontId="1" type="noConversion"/>
  </si>
  <si>
    <t>11.15淘汰</t>
    <phoneticPr fontId="1" type="noConversion"/>
  </si>
  <si>
    <t>11.22淘汰</t>
    <phoneticPr fontId="1" type="noConversion"/>
  </si>
  <si>
    <t>谁能挡我</t>
    <phoneticPr fontId="1" type="noConversion"/>
  </si>
  <si>
    <t>11.29淘汰</t>
    <phoneticPr fontId="1" type="noConversion"/>
  </si>
  <si>
    <t>12.02淘汰</t>
    <phoneticPr fontId="1" type="noConversion"/>
  </si>
  <si>
    <t>11.08主退</t>
    <phoneticPr fontId="1" type="noConversion"/>
  </si>
  <si>
    <t>11.06主退</t>
    <phoneticPr fontId="1" type="noConversion"/>
  </si>
  <si>
    <t>11.01主退</t>
    <phoneticPr fontId="1" type="noConversion"/>
  </si>
  <si>
    <t>11.01淘汰</t>
    <phoneticPr fontId="1" type="noConversion"/>
  </si>
  <si>
    <t>瑶啊瑶。</t>
    <phoneticPr fontId="1" type="noConversion"/>
  </si>
  <si>
    <t>新人第一周</t>
    <phoneticPr fontId="1" type="noConversion"/>
  </si>
  <si>
    <t>新人第二周</t>
    <phoneticPr fontId="1" type="noConversion"/>
  </si>
  <si>
    <t xml:space="preserve">本队平均水平 </t>
    <phoneticPr fontId="1" type="noConversion"/>
  </si>
  <si>
    <t>上周平均</t>
    <phoneticPr fontId="1" type="noConversion"/>
  </si>
  <si>
    <t>本周平均</t>
    <phoneticPr fontId="1" type="noConversion"/>
  </si>
  <si>
    <t>戰龍</t>
    <phoneticPr fontId="1" type="noConversion"/>
  </si>
  <si>
    <t>12.05主退</t>
    <phoneticPr fontId="1" type="noConversion"/>
  </si>
  <si>
    <t>危险</t>
    <phoneticPr fontId="1" type="noConversion"/>
  </si>
  <si>
    <r>
      <t>1. 新成员加入后进入新人期，为期两个计分周期
2. 新人期第一周数据不完整，不具可比性，故不参与常规淘汰，入队第一周会给出分数以供参考
3. 新人期第二周将根据周日最后评分，</t>
    </r>
    <r>
      <rPr>
        <b/>
        <sz val="11"/>
        <color rgb="FFFF0000"/>
        <rFont val="宋体"/>
        <family val="3"/>
        <charset val="134"/>
        <scheme val="minor"/>
      </rPr>
      <t>若分数低于所有常规队员则淘汰</t>
    </r>
    <r>
      <rPr>
        <sz val="11"/>
        <color theme="1"/>
        <rFont val="宋体"/>
        <family val="3"/>
        <charset val="134"/>
        <scheme val="minor"/>
      </rPr>
      <t xml:space="preserve">
4. 新人期内若达到升职条件即可升职并脱离新人期
5. 新人期请尽快完成战力统计，详情请查阅群文件</t>
    </r>
    <phoneticPr fontId="1" type="noConversion"/>
  </si>
  <si>
    <t>羊咩咩</t>
    <phoneticPr fontId="1" type="noConversion"/>
  </si>
  <si>
    <t>天意sxz</t>
    <phoneticPr fontId="1" type="noConversion"/>
  </si>
  <si>
    <t>12.06主退</t>
    <phoneticPr fontId="1" type="noConversion"/>
  </si>
  <si>
    <t>—</t>
  </si>
  <si>
    <t>默默</t>
    <phoneticPr fontId="1" type="noConversion"/>
  </si>
  <si>
    <t>本队平均每日情报值</t>
    <phoneticPr fontId="1" type="noConversion"/>
  </si>
  <si>
    <t xml:space="preserve"> </t>
    <phoneticPr fontId="1" type="noConversion"/>
  </si>
  <si>
    <r>
      <t>1. 一周为一个记分周期，新入成员将适用《新人筛选规则》，而不参与前两周淘汰，但会在第二周结束筛选。
2. 评分标准为((上周情报值*25%+周平均情报值*75%+淘汰周出战次数*3+特殊记录*5+</t>
    </r>
    <r>
      <rPr>
        <b/>
        <sz val="11"/>
        <color rgb="FFFF0000"/>
        <rFont val="宋体"/>
        <family val="3"/>
        <charset val="134"/>
        <scheme val="minor"/>
      </rPr>
      <t>0.25*</t>
    </r>
    <r>
      <rPr>
        <sz val="11"/>
        <color theme="1"/>
        <rFont val="宋体"/>
        <family val="3"/>
        <charset val="134"/>
        <scheme val="minor"/>
      </rPr>
      <t>(周平均情报值-上周平均情报值))*淘汰周参与率+牌数/20)/级别*修正值(</t>
    </r>
    <r>
      <rPr>
        <b/>
        <sz val="11"/>
        <color rgb="FFFF0000"/>
        <rFont val="宋体"/>
        <family val="3"/>
        <charset val="134"/>
        <scheme val="minor"/>
      </rPr>
      <t>30</t>
    </r>
    <r>
      <rPr>
        <sz val="11"/>
        <color theme="1"/>
        <rFont val="宋体"/>
        <family val="3"/>
        <charset val="134"/>
        <scheme val="minor"/>
      </rPr>
      <t xml:space="preserve">)[注:修正值根据队伍平均值计算,且最终通过复位使零分归零]
3. 以下情况记录为特殊事件：
+1：布置战报，特遣队任务表现出色，分享每日事件战术攻略，分享录像等活跃行为-1：不按战报进攻
，不出兵，捡漏，所负责地图未完成等消极行为
4. </t>
    </r>
    <r>
      <rPr>
        <b/>
        <sz val="11"/>
        <color rgb="FFFF0000"/>
        <rFont val="宋体"/>
        <family val="3"/>
        <charset val="134"/>
        <scheme val="minor"/>
      </rPr>
      <t>每周日将公布得分，倒数三名将被警告，连续三周被警告则淘汰 (警告期，危险期，淘汰。)</t>
    </r>
    <r>
      <rPr>
        <sz val="11"/>
        <color theme="1"/>
        <rFont val="宋体"/>
        <family val="3"/>
        <charset val="134"/>
        <scheme val="minor"/>
      </rPr>
      <t xml:space="preserve">
5. (根据队伍平均水平浮动)军官要求最低得分</t>
    </r>
    <r>
      <rPr>
        <b/>
        <sz val="11"/>
        <color rgb="FFFF0000"/>
        <rFont val="宋体"/>
        <family val="3"/>
        <charset val="134"/>
        <scheme val="minor"/>
      </rPr>
      <t>65</t>
    </r>
    <r>
      <rPr>
        <sz val="11"/>
        <color theme="1"/>
        <rFont val="宋体"/>
        <family val="3"/>
        <charset val="134"/>
        <scheme val="minor"/>
      </rPr>
      <t>, 副指挥官要求最低得分</t>
    </r>
    <r>
      <rPr>
        <b/>
        <sz val="11"/>
        <color rgb="FFFF0000"/>
        <rFont val="宋体"/>
        <family val="3"/>
        <charset val="134"/>
        <scheme val="minor"/>
      </rPr>
      <t>80</t>
    </r>
    <r>
      <rPr>
        <sz val="11"/>
        <color theme="1"/>
        <rFont val="宋体"/>
        <family val="3"/>
        <charset val="134"/>
        <scheme val="minor"/>
      </rPr>
      <t xml:space="preserve">
6. (根据队伍平均水平浮动)满足下列要求可升职：
军官：周平均情报达</t>
    </r>
    <r>
      <rPr>
        <b/>
        <sz val="11"/>
        <color rgb="FFFF0000"/>
        <rFont val="宋体"/>
        <family val="3"/>
        <charset val="134"/>
        <scheme val="minor"/>
      </rPr>
      <t>55</t>
    </r>
    <r>
      <rPr>
        <sz val="11"/>
        <color theme="1"/>
        <rFont val="宋体"/>
        <family val="3"/>
        <charset val="134"/>
        <scheme val="minor"/>
      </rPr>
      <t>，得分达</t>
    </r>
    <r>
      <rPr>
        <b/>
        <sz val="11"/>
        <color rgb="FFFF0000"/>
        <rFont val="宋体"/>
        <family val="3"/>
        <charset val="134"/>
        <scheme val="minor"/>
      </rPr>
      <t>70</t>
    </r>
    <r>
      <rPr>
        <sz val="11"/>
        <color theme="1"/>
        <rFont val="宋体"/>
        <family val="3"/>
        <charset val="134"/>
        <scheme val="minor"/>
      </rPr>
      <t xml:space="preserve">
副指挥官：周平均情报达</t>
    </r>
    <r>
      <rPr>
        <b/>
        <sz val="11"/>
        <color rgb="FFFF0000"/>
        <rFont val="宋体"/>
        <family val="3"/>
        <charset val="134"/>
        <scheme val="minor"/>
      </rPr>
      <t>65</t>
    </r>
    <r>
      <rPr>
        <sz val="11"/>
        <color theme="1"/>
        <rFont val="宋体"/>
        <family val="3"/>
        <charset val="134"/>
        <scheme val="minor"/>
      </rPr>
      <t>，得分达</t>
    </r>
    <r>
      <rPr>
        <b/>
        <sz val="11"/>
        <color rgb="FFFF0000"/>
        <rFont val="宋体"/>
        <family val="3"/>
        <charset val="134"/>
        <scheme val="minor"/>
      </rPr>
      <t>90</t>
    </r>
    <r>
      <rPr>
        <sz val="11"/>
        <color theme="1"/>
        <rFont val="宋体"/>
        <family val="3"/>
        <charset val="134"/>
        <scheme val="minor"/>
      </rPr>
      <t xml:space="preserve">
7. 正副指挥官有权临时提拔出色的队员，若周末不满足职称最低条件则降职
8. 本机制仍处于beta阶段，最终解释权归指挥官所有</t>
    </r>
    <phoneticPr fontId="1" type="noConversion"/>
  </si>
  <si>
    <t>12.10主退</t>
    <phoneticPr fontId="1" type="noConversion"/>
  </si>
  <si>
    <t>東京喰種</t>
    <phoneticPr fontId="1" type="noConversion"/>
  </si>
  <si>
    <t>XL灬冰麒麟</t>
    <phoneticPr fontId="1" type="noConversion"/>
  </si>
  <si>
    <t>巅峰-深沉青年</t>
    <phoneticPr fontId="1" type="noConversion"/>
  </si>
  <si>
    <t>妞、给大爷乐一个</t>
    <phoneticPr fontId="1" type="noConversion"/>
  </si>
  <si>
    <t>12.15主退</t>
    <phoneticPr fontId="1" type="noConversion"/>
  </si>
  <si>
    <t>12.13主退</t>
    <phoneticPr fontId="1" type="noConversion"/>
  </si>
  <si>
    <t>12.26主退</t>
    <phoneticPr fontId="1" type="noConversion"/>
  </si>
  <si>
    <t>缺席</t>
    <phoneticPr fontId="1" type="noConversion"/>
  </si>
  <si>
    <t>零一</t>
    <phoneticPr fontId="1" type="noConversion"/>
  </si>
  <si>
    <t>暂离</t>
    <phoneticPr fontId="1" type="noConversion"/>
  </si>
  <si>
    <t>缺席</t>
    <phoneticPr fontId="1" type="noConversion"/>
  </si>
  <si>
    <t>猪头兴</t>
    <phoneticPr fontId="1" type="noConversion"/>
  </si>
  <si>
    <t>12.25主退</t>
    <phoneticPr fontId="1" type="noConversion"/>
  </si>
  <si>
    <t>12.26加入</t>
    <phoneticPr fontId="1" type="noConversion"/>
  </si>
  <si>
    <t>上周进攻</t>
    <phoneticPr fontId="1" type="noConversion"/>
  </si>
  <si>
    <t>埋伏</t>
    <phoneticPr fontId="1" type="noConversion"/>
  </si>
  <si>
    <t>暂离</t>
    <phoneticPr fontId="1" type="noConversion"/>
  </si>
  <si>
    <t>Devil_RVD</t>
    <phoneticPr fontId="1" type="noConversion"/>
  </si>
  <si>
    <t>黑夜、糜烂</t>
    <phoneticPr fontId="1" type="noConversion"/>
  </si>
  <si>
    <t>12.25主退</t>
    <phoneticPr fontId="1" type="noConversion"/>
  </si>
  <si>
    <t>12.27加入</t>
    <phoneticPr fontId="1" type="noConversion"/>
  </si>
  <si>
    <t>Nice……18</t>
    <phoneticPr fontId="1" type="noConversion"/>
  </si>
  <si>
    <t>12.27加入</t>
    <phoneticPr fontId="1" type="noConversion"/>
  </si>
  <si>
    <r>
      <rPr>
        <b/>
        <sz val="14"/>
        <color theme="1"/>
        <rFont val="宋体"/>
        <family val="3"/>
        <charset val="134"/>
        <scheme val="minor"/>
      </rPr>
      <t>脱离新人期：</t>
    </r>
    <r>
      <rPr>
        <b/>
        <sz val="14"/>
        <color rgb="FF00B050"/>
        <rFont val="宋体"/>
        <family val="3"/>
        <charset val="134"/>
        <scheme val="minor"/>
      </rPr>
      <t>无</t>
    </r>
    <phoneticPr fontId="1" type="noConversion"/>
  </si>
  <si>
    <r>
      <rPr>
        <b/>
        <sz val="14"/>
        <color theme="1"/>
        <rFont val="宋体"/>
        <family val="3"/>
        <charset val="134"/>
        <scheme val="minor"/>
      </rPr>
      <t>升职：</t>
    </r>
    <r>
      <rPr>
        <b/>
        <sz val="14"/>
        <color rgb="FF00B050"/>
        <rFont val="宋体"/>
        <family val="3"/>
        <charset val="134"/>
        <scheme val="minor"/>
      </rPr>
      <t>无</t>
    </r>
    <phoneticPr fontId="1" type="noConversion"/>
  </si>
  <si>
    <r>
      <rPr>
        <b/>
        <sz val="11"/>
        <color theme="0" tint="-0.499984740745262"/>
        <rFont val="等线"/>
        <family val="3"/>
        <charset val="134"/>
      </rPr>
      <t>☆</t>
    </r>
    <r>
      <rPr>
        <b/>
        <sz val="11"/>
        <color theme="0" tint="-0.499984740745262"/>
        <rFont val="宋体"/>
        <family val="3"/>
        <charset val="134"/>
      </rPr>
      <t>.</t>
    </r>
    <r>
      <rPr>
        <b/>
        <sz val="11"/>
        <color theme="0" tint="-0.499984740745262"/>
        <rFont val="宋体"/>
        <family val="3"/>
        <charset val="134"/>
        <scheme val="minor"/>
      </rPr>
      <t>大帅.</t>
    </r>
    <r>
      <rPr>
        <b/>
        <sz val="11"/>
        <color theme="0" tint="-0.499984740745262"/>
        <rFont val="等线"/>
        <family val="3"/>
        <charset val="134"/>
      </rPr>
      <t>☆</t>
    </r>
    <phoneticPr fontId="1" type="noConversion"/>
  </si>
  <si>
    <r>
      <t>降职：</t>
    </r>
    <r>
      <rPr>
        <b/>
        <sz val="14"/>
        <color rgb="FFFF0000"/>
        <rFont val="宋体"/>
        <family val="3"/>
        <charset val="134"/>
        <scheme val="minor"/>
      </rPr>
      <t>无</t>
    </r>
    <phoneticPr fontId="1" type="noConversion"/>
  </si>
  <si>
    <r>
      <t>警告期：</t>
    </r>
    <r>
      <rPr>
        <b/>
        <sz val="14"/>
        <color rgb="FFFFC000"/>
        <rFont val="宋体"/>
        <family val="3"/>
        <charset val="134"/>
        <scheme val="minor"/>
      </rPr>
      <t>无</t>
    </r>
    <phoneticPr fontId="1" type="noConversion"/>
  </si>
  <si>
    <r>
      <t xml:space="preserve">               </t>
    </r>
    <r>
      <rPr>
        <b/>
        <sz val="16"/>
        <color indexed="8"/>
        <rFont val="宋体"/>
        <family val="3"/>
        <charset val="134"/>
      </rPr>
      <t>海岛奇兵特遣队队员情报值得分表        记录时间：</t>
    </r>
    <r>
      <rPr>
        <b/>
        <sz val="16"/>
        <color indexed="10"/>
        <rFont val="宋体"/>
        <family val="3"/>
        <charset val="134"/>
      </rPr>
      <t>01.07.16 18:31</t>
    </r>
    <phoneticPr fontId="1" type="noConversion"/>
  </si>
  <si>
    <t>元旦休整期，不做奖惩。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</si>
</sst>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.00_ "/>
    <numFmt numFmtId="177" formatCode="0_ "/>
    <numFmt numFmtId="178" formatCode="0.000000_ "/>
  </numFmts>
  <fonts count="25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</font>
    <font>
      <b/>
      <sz val="16"/>
      <color indexed="8"/>
      <name val="宋体"/>
      <family val="3"/>
      <charset val="134"/>
    </font>
    <font>
      <b/>
      <sz val="16"/>
      <color indexed="10"/>
      <name val="宋体"/>
      <family val="3"/>
      <charset val="134"/>
    </font>
    <font>
      <b/>
      <sz val="14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 tint="0.499984740745262"/>
      <name val="宋体"/>
      <family val="3"/>
      <charset val="134"/>
      <scheme val="minor"/>
    </font>
    <font>
      <b/>
      <sz val="14"/>
      <color theme="1"/>
      <name val="宋体"/>
      <family val="3"/>
      <charset val="134"/>
      <scheme val="minor"/>
    </font>
    <font>
      <b/>
      <sz val="14"/>
      <name val="宋体"/>
      <family val="3"/>
      <charset val="134"/>
      <scheme val="minor"/>
    </font>
    <font>
      <b/>
      <sz val="14"/>
      <color theme="0" tint="-0.499984740745262"/>
      <name val="宋体"/>
      <family val="3"/>
      <charset val="134"/>
      <scheme val="minor"/>
    </font>
    <font>
      <b/>
      <sz val="11"/>
      <color theme="0" tint="-0.499984740745262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4"/>
      <color theme="1"/>
      <name val="宋体"/>
      <family val="3"/>
      <charset val="134"/>
    </font>
    <font>
      <b/>
      <sz val="18"/>
      <color theme="1"/>
      <name val="宋体"/>
      <family val="3"/>
      <charset val="134"/>
      <scheme val="minor"/>
    </font>
    <font>
      <b/>
      <sz val="16"/>
      <color theme="1"/>
      <name val="宋体"/>
      <family val="3"/>
      <charset val="134"/>
      <scheme val="minor"/>
    </font>
    <font>
      <b/>
      <sz val="14"/>
      <color rgb="FF00B050"/>
      <name val="宋体"/>
      <family val="3"/>
      <charset val="134"/>
      <scheme val="minor"/>
    </font>
    <font>
      <sz val="11"/>
      <color rgb="FF00B050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4"/>
      <color rgb="FFFF0000"/>
      <name val="宋体"/>
      <family val="3"/>
      <charset val="134"/>
      <scheme val="minor"/>
    </font>
    <font>
      <b/>
      <sz val="14"/>
      <color rgb="FFFFC000"/>
      <name val="宋体"/>
      <family val="3"/>
      <charset val="134"/>
      <scheme val="minor"/>
    </font>
    <font>
      <b/>
      <sz val="11"/>
      <color theme="0" tint="-0.499984740745262"/>
      <name val="等线"/>
      <family val="3"/>
      <charset val="134"/>
    </font>
    <font>
      <b/>
      <sz val="11"/>
      <color theme="0" tint="-0.499984740745262"/>
      <name val="宋体"/>
      <family val="3"/>
      <charset val="134"/>
    </font>
    <font>
      <b/>
      <sz val="18"/>
      <color rgb="FFFF0000"/>
      <name val="宋体"/>
      <family val="3"/>
      <charset val="134"/>
      <scheme val="minor"/>
    </font>
    <font>
      <b/>
      <sz val="20"/>
      <color rgb="FFFF0000"/>
      <name val="宋体"/>
      <family val="3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-0.499984740745262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</cellStyleXfs>
  <cellXfs count="170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>
      <alignment vertical="center"/>
    </xf>
    <xf numFmtId="0" fontId="0" fillId="0" borderId="0" xfId="0" applyAlignme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Fill="1">
      <alignment vertical="center"/>
    </xf>
    <xf numFmtId="0" fontId="0" fillId="0" borderId="0" xfId="0" applyFont="1" applyAlignment="1">
      <alignment horizontal="center" vertical="center"/>
    </xf>
    <xf numFmtId="0" fontId="0" fillId="0" borderId="0" xfId="0" applyFont="1">
      <alignment vertical="center"/>
    </xf>
    <xf numFmtId="0" fontId="0" fillId="0" borderId="0" xfId="0" applyFont="1" applyFill="1">
      <alignment vertical="center"/>
    </xf>
    <xf numFmtId="0" fontId="0" fillId="0" borderId="0" xfId="0" applyFont="1">
      <alignment vertical="center"/>
    </xf>
    <xf numFmtId="0" fontId="6" fillId="0" borderId="2" xfId="0" applyFont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1" fillId="0" borderId="1" xfId="0" applyFont="1" applyFill="1" applyBorder="1" applyAlignment="1">
      <alignment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9" fontId="10" fillId="0" borderId="1" xfId="0" applyNumberFormat="1" applyFont="1" applyFill="1" applyBorder="1" applyAlignment="1">
      <alignment horizontal="center" vertical="center"/>
    </xf>
    <xf numFmtId="0" fontId="10" fillId="0" borderId="3" xfId="0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horizontal="center" vertical="center"/>
    </xf>
    <xf numFmtId="0" fontId="8" fillId="0" borderId="19" xfId="0" applyFont="1" applyFill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center"/>
    </xf>
    <xf numFmtId="9" fontId="8" fillId="0" borderId="1" xfId="0" applyNumberFormat="1" applyFont="1" applyFill="1" applyBorder="1" applyAlignment="1">
      <alignment horizontal="center" vertical="center"/>
    </xf>
    <xf numFmtId="177" fontId="10" fillId="0" borderId="7" xfId="0" applyNumberFormat="1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horizontal="center" vertical="center"/>
    </xf>
    <xf numFmtId="0" fontId="11" fillId="0" borderId="2" xfId="0" applyFont="1" applyFill="1" applyBorder="1" applyAlignment="1">
      <alignment vertical="center"/>
    </xf>
    <xf numFmtId="9" fontId="10" fillId="0" borderId="2" xfId="0" applyNumberFormat="1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horizontal="center" vertical="center"/>
    </xf>
    <xf numFmtId="0" fontId="0" fillId="0" borderId="0" xfId="0" applyFont="1" applyProtection="1">
      <alignment vertical="center"/>
      <protection hidden="1"/>
    </xf>
    <xf numFmtId="0" fontId="8" fillId="0" borderId="22" xfId="0" applyFont="1" applyBorder="1" applyAlignment="1">
      <alignment horizontal="center" vertical="center"/>
    </xf>
    <xf numFmtId="0" fontId="6" fillId="2" borderId="1" xfId="0" applyFont="1" applyFill="1" applyBorder="1">
      <alignment vertical="center"/>
    </xf>
    <xf numFmtId="0" fontId="6" fillId="6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0" borderId="23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178" fontId="0" fillId="0" borderId="0" xfId="0" applyNumberFormat="1">
      <alignment vertical="center"/>
    </xf>
    <xf numFmtId="0" fontId="6" fillId="0" borderId="0" xfId="0" applyNumberFormat="1" applyFont="1" applyProtection="1">
      <alignment vertical="center"/>
    </xf>
    <xf numFmtId="9" fontId="6" fillId="0" borderId="0" xfId="0" applyNumberFormat="1" applyFont="1" applyProtection="1">
      <alignment vertical="center"/>
    </xf>
    <xf numFmtId="0" fontId="0" fillId="0" borderId="0" xfId="0" applyProtection="1">
      <alignment vertical="center"/>
    </xf>
    <xf numFmtId="0" fontId="8" fillId="0" borderId="3" xfId="0" applyFont="1" applyFill="1" applyBorder="1" applyAlignment="1">
      <alignment horizontal="center" vertical="center"/>
    </xf>
    <xf numFmtId="177" fontId="8" fillId="0" borderId="7" xfId="0" applyNumberFormat="1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2" borderId="26" xfId="0" applyFont="1" applyFill="1" applyBorder="1" applyAlignment="1">
      <alignment horizontal="center" vertical="center"/>
    </xf>
    <xf numFmtId="0" fontId="6" fillId="7" borderId="26" xfId="0" applyFont="1" applyFill="1" applyBorder="1" applyAlignment="1">
      <alignment horizontal="center" vertical="center"/>
    </xf>
    <xf numFmtId="0" fontId="12" fillId="11" borderId="27" xfId="0" applyFont="1" applyFill="1" applyBorder="1" applyAlignment="1">
      <alignment horizontal="center" vertical="center"/>
    </xf>
    <xf numFmtId="0" fontId="6" fillId="9" borderId="2" xfId="0" applyFont="1" applyFill="1" applyBorder="1" applyAlignment="1">
      <alignment horizontal="center" vertical="center"/>
    </xf>
    <xf numFmtId="0" fontId="12" fillId="8" borderId="5" xfId="0" applyFont="1" applyFill="1" applyBorder="1" applyAlignment="1">
      <alignment horizontal="center" vertical="center"/>
    </xf>
    <xf numFmtId="0" fontId="6" fillId="13" borderId="2" xfId="0" applyFont="1" applyFill="1" applyBorder="1" applyAlignment="1">
      <alignment horizontal="center" vertical="center"/>
    </xf>
    <xf numFmtId="0" fontId="6" fillId="5" borderId="20" xfId="0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12" fillId="3" borderId="1" xfId="0" applyFont="1" applyFill="1" applyBorder="1" applyAlignment="1">
      <alignment vertical="center"/>
    </xf>
    <xf numFmtId="0" fontId="10" fillId="0" borderId="2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left" vertical="center"/>
    </xf>
    <xf numFmtId="49" fontId="6" fillId="0" borderId="11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left" vertical="center"/>
    </xf>
    <xf numFmtId="0" fontId="12" fillId="0" borderId="1" xfId="0" applyFont="1" applyFill="1" applyBorder="1" applyAlignment="1">
      <alignment horizontal="left" vertical="center"/>
    </xf>
    <xf numFmtId="0" fontId="8" fillId="0" borderId="25" xfId="0" applyFont="1" applyFill="1" applyBorder="1" applyAlignment="1">
      <alignment horizontal="center" vertical="center"/>
    </xf>
    <xf numFmtId="0" fontId="8" fillId="0" borderId="26" xfId="0" applyFont="1" applyFill="1" applyBorder="1" applyAlignment="1">
      <alignment horizontal="center" vertical="center"/>
    </xf>
    <xf numFmtId="0" fontId="8" fillId="0" borderId="18" xfId="0" applyFont="1" applyFill="1" applyBorder="1" applyAlignment="1">
      <alignment horizontal="center" vertical="center"/>
    </xf>
    <xf numFmtId="0" fontId="8" fillId="0" borderId="20" xfId="0" applyFont="1" applyFill="1" applyBorder="1" applyAlignment="1">
      <alignment horizontal="center" vertical="center"/>
    </xf>
    <xf numFmtId="9" fontId="8" fillId="0" borderId="26" xfId="0" applyNumberFormat="1" applyFont="1" applyFill="1" applyBorder="1" applyAlignment="1">
      <alignment horizontal="center" vertical="center"/>
    </xf>
    <xf numFmtId="0" fontId="8" fillId="0" borderId="28" xfId="0" applyFont="1" applyFill="1" applyBorder="1" applyAlignment="1">
      <alignment horizontal="center" vertical="center"/>
    </xf>
    <xf numFmtId="0" fontId="8" fillId="0" borderId="29" xfId="0" applyFont="1" applyFill="1" applyBorder="1" applyAlignment="1">
      <alignment horizontal="center" vertical="center"/>
    </xf>
    <xf numFmtId="0" fontId="8" fillId="0" borderId="30" xfId="0" applyFont="1" applyFill="1" applyBorder="1" applyAlignment="1">
      <alignment horizontal="center" vertical="center"/>
    </xf>
    <xf numFmtId="0" fontId="8" fillId="0" borderId="31" xfId="0" applyFont="1" applyFill="1" applyBorder="1" applyAlignment="1">
      <alignment horizontal="center" vertical="center"/>
    </xf>
    <xf numFmtId="9" fontId="8" fillId="0" borderId="29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2" fontId="23" fillId="0" borderId="0" xfId="0" applyNumberFormat="1" applyFont="1" applyAlignment="1">
      <alignment horizontal="center" vertical="center"/>
    </xf>
    <xf numFmtId="0" fontId="8" fillId="0" borderId="34" xfId="0" applyFont="1" applyFill="1" applyBorder="1" applyAlignment="1">
      <alignment horizontal="center" vertical="center"/>
    </xf>
    <xf numFmtId="0" fontId="8" fillId="0" borderId="33" xfId="0" applyFont="1" applyFill="1" applyBorder="1" applyAlignment="1">
      <alignment horizontal="center" vertical="center"/>
    </xf>
    <xf numFmtId="0" fontId="8" fillId="0" borderId="35" xfId="0" applyFont="1" applyFill="1" applyBorder="1" applyAlignment="1">
      <alignment horizontal="center" vertical="center"/>
    </xf>
    <xf numFmtId="0" fontId="8" fillId="0" borderId="36" xfId="0" applyFont="1" applyFill="1" applyBorder="1" applyAlignment="1">
      <alignment horizontal="center" vertical="center"/>
    </xf>
    <xf numFmtId="177" fontId="8" fillId="0" borderId="37" xfId="0" applyNumberFormat="1" applyFont="1" applyFill="1" applyBorder="1" applyAlignment="1">
      <alignment horizontal="center" vertical="center"/>
    </xf>
    <xf numFmtId="0" fontId="10" fillId="0" borderId="28" xfId="0" applyFont="1" applyFill="1" applyBorder="1" applyAlignment="1">
      <alignment horizontal="center" vertical="center"/>
    </xf>
    <xf numFmtId="0" fontId="10" fillId="0" borderId="29" xfId="0" applyFont="1" applyFill="1" applyBorder="1" applyAlignment="1">
      <alignment horizontal="center" vertical="center"/>
    </xf>
    <xf numFmtId="0" fontId="11" fillId="0" borderId="29" xfId="0" applyFont="1" applyFill="1" applyBorder="1" applyAlignment="1">
      <alignment vertical="center"/>
    </xf>
    <xf numFmtId="9" fontId="10" fillId="0" borderId="29" xfId="0" applyNumberFormat="1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14" fillId="10" borderId="24" xfId="0" applyFont="1" applyFill="1" applyBorder="1" applyAlignment="1">
      <alignment horizontal="center" vertical="center"/>
    </xf>
    <xf numFmtId="0" fontId="0" fillId="10" borderId="11" xfId="0" applyFont="1" applyFill="1" applyBorder="1" applyAlignment="1">
      <alignment horizontal="center" vertical="center"/>
    </xf>
    <xf numFmtId="0" fontId="0" fillId="10" borderId="12" xfId="0" applyFont="1" applyFill="1" applyBorder="1" applyAlignment="1">
      <alignment horizontal="center" vertical="center"/>
    </xf>
    <xf numFmtId="0" fontId="8" fillId="8" borderId="0" xfId="0" applyFont="1" applyFill="1" applyBorder="1" applyAlignment="1">
      <alignment horizontal="center" vertical="center"/>
    </xf>
    <xf numFmtId="0" fontId="8" fillId="8" borderId="16" xfId="0" applyFont="1" applyFill="1" applyBorder="1" applyAlignment="1">
      <alignment horizontal="center" vertical="center"/>
    </xf>
    <xf numFmtId="0" fontId="8" fillId="5" borderId="13" xfId="0" applyFont="1" applyFill="1" applyBorder="1" applyAlignment="1">
      <alignment horizontal="center" vertical="center"/>
    </xf>
    <xf numFmtId="0" fontId="8" fillId="5" borderId="17" xfId="0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vertical="center" wrapText="1"/>
    </xf>
    <xf numFmtId="0" fontId="5" fillId="0" borderId="17" xfId="0" applyFont="1" applyFill="1" applyBorder="1" applyAlignment="1">
      <alignment vertical="center" wrapText="1"/>
    </xf>
    <xf numFmtId="0" fontId="5" fillId="0" borderId="0" xfId="0" applyFont="1" applyFill="1" applyBorder="1" applyAlignment="1">
      <alignment vertical="center" wrapText="1"/>
    </xf>
    <xf numFmtId="0" fontId="5" fillId="0" borderId="16" xfId="0" applyFont="1" applyFill="1" applyBorder="1" applyAlignment="1">
      <alignment vertical="center" wrapText="1"/>
    </xf>
    <xf numFmtId="0" fontId="5" fillId="0" borderId="14" xfId="0" applyFont="1" applyFill="1" applyBorder="1" applyAlignment="1">
      <alignment vertical="center" wrapText="1"/>
    </xf>
    <xf numFmtId="0" fontId="5" fillId="0" borderId="15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horizontal="center" vertical="center"/>
    </xf>
    <xf numFmtId="0" fontId="15" fillId="10" borderId="12" xfId="0" applyFont="1" applyFill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17" fillId="0" borderId="27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5" fillId="0" borderId="13" xfId="0" applyFont="1" applyBorder="1" applyAlignment="1">
      <alignment vertical="center" wrapText="1"/>
    </xf>
    <xf numFmtId="0" fontId="5" fillId="0" borderId="17" xfId="0" applyFont="1" applyBorder="1" applyAlignment="1">
      <alignment vertical="center" wrapText="1"/>
    </xf>
    <xf numFmtId="0" fontId="5" fillId="0" borderId="0" xfId="0" applyFont="1" applyBorder="1" applyAlignment="1">
      <alignment vertical="center" wrapText="1"/>
    </xf>
    <xf numFmtId="0" fontId="5" fillId="0" borderId="16" xfId="0" applyFont="1" applyBorder="1" applyAlignment="1">
      <alignment vertical="center" wrapText="1"/>
    </xf>
    <xf numFmtId="0" fontId="5" fillId="0" borderId="14" xfId="0" applyFont="1" applyBorder="1" applyAlignment="1">
      <alignment vertical="center" wrapText="1"/>
    </xf>
    <xf numFmtId="0" fontId="5" fillId="0" borderId="15" xfId="0" applyFont="1" applyBorder="1" applyAlignment="1">
      <alignment vertical="center" wrapText="1"/>
    </xf>
    <xf numFmtId="0" fontId="5" fillId="0" borderId="24" xfId="0" applyFont="1" applyFill="1" applyBorder="1" applyAlignment="1">
      <alignment horizontal="center" vertical="center"/>
    </xf>
    <xf numFmtId="0" fontId="5" fillId="0" borderId="11" xfId="0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6" fillId="4" borderId="16" xfId="0" applyFont="1" applyFill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6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0" fontId="8" fillId="12" borderId="44" xfId="0" applyFont="1" applyFill="1" applyBorder="1" applyAlignment="1">
      <alignment horizontal="center" vertical="center"/>
    </xf>
    <xf numFmtId="0" fontId="8" fillId="12" borderId="45" xfId="0" applyFont="1" applyFill="1" applyBorder="1" applyAlignment="1">
      <alignment horizontal="center" vertical="center"/>
    </xf>
    <xf numFmtId="0" fontId="6" fillId="12" borderId="45" xfId="0" applyFont="1" applyFill="1" applyBorder="1" applyAlignment="1">
      <alignment vertical="center"/>
    </xf>
    <xf numFmtId="0" fontId="8" fillId="12" borderId="45" xfId="0" applyNumberFormat="1" applyFont="1" applyFill="1" applyBorder="1" applyAlignment="1">
      <alignment horizontal="center" vertical="center"/>
    </xf>
    <xf numFmtId="9" fontId="8" fillId="12" borderId="45" xfId="0" applyNumberFormat="1" applyFont="1" applyFill="1" applyBorder="1" applyAlignment="1">
      <alignment horizontal="center" vertical="center"/>
    </xf>
    <xf numFmtId="0" fontId="8" fillId="12" borderId="46" xfId="0" applyNumberFormat="1" applyFont="1" applyFill="1" applyBorder="1" applyAlignment="1">
      <alignment horizontal="center" vertical="center"/>
    </xf>
    <xf numFmtId="0" fontId="9" fillId="4" borderId="3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9" fillId="4" borderId="19" xfId="0" applyFont="1" applyFill="1" applyBorder="1" applyAlignment="1">
      <alignment horizontal="center" vertical="center"/>
    </xf>
    <xf numFmtId="0" fontId="8" fillId="4" borderId="21" xfId="0" applyFont="1" applyFill="1" applyBorder="1" applyAlignment="1">
      <alignment horizontal="center" vertical="center"/>
    </xf>
    <xf numFmtId="9" fontId="8" fillId="4" borderId="1" xfId="0" applyNumberFormat="1" applyFont="1" applyFill="1" applyBorder="1" applyAlignment="1">
      <alignment horizontal="center" vertical="center"/>
    </xf>
    <xf numFmtId="177" fontId="8" fillId="4" borderId="7" xfId="0" applyNumberFormat="1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vertical="center"/>
    </xf>
    <xf numFmtId="177" fontId="8" fillId="0" borderId="38" xfId="0" applyNumberFormat="1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left" vertical="center"/>
    </xf>
    <xf numFmtId="0" fontId="6" fillId="5" borderId="26" xfId="0" applyFont="1" applyFill="1" applyBorder="1" applyAlignment="1">
      <alignment vertical="center"/>
    </xf>
    <xf numFmtId="177" fontId="8" fillId="0" borderId="27" xfId="0" applyNumberFormat="1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vertical="center"/>
    </xf>
    <xf numFmtId="9" fontId="8" fillId="4" borderId="2" xfId="0" applyNumberFormat="1" applyFont="1" applyFill="1" applyBorder="1" applyAlignment="1">
      <alignment horizontal="center" vertical="center"/>
    </xf>
    <xf numFmtId="177" fontId="8" fillId="4" borderId="5" xfId="0" applyNumberFormat="1" applyFont="1" applyFill="1" applyBorder="1" applyAlignment="1">
      <alignment horizontal="center" vertical="center"/>
    </xf>
    <xf numFmtId="9" fontId="8" fillId="0" borderId="33" xfId="0" applyNumberFormat="1" applyFont="1" applyFill="1" applyBorder="1" applyAlignment="1">
      <alignment horizontal="center" vertical="center"/>
    </xf>
    <xf numFmtId="0" fontId="8" fillId="4" borderId="39" xfId="0" applyNumberFormat="1" applyFont="1" applyFill="1" applyBorder="1" applyAlignment="1">
      <alignment horizontal="center" vertical="center"/>
    </xf>
    <xf numFmtId="0" fontId="8" fillId="4" borderId="40" xfId="0" applyNumberFormat="1" applyFont="1" applyFill="1" applyBorder="1" applyAlignment="1">
      <alignment horizontal="center" vertical="center"/>
    </xf>
    <xf numFmtId="0" fontId="6" fillId="4" borderId="40" xfId="0" applyNumberFormat="1" applyFont="1" applyFill="1" applyBorder="1" applyAlignment="1">
      <alignment horizontal="left" vertical="center"/>
    </xf>
    <xf numFmtId="176" fontId="8" fillId="4" borderId="43" xfId="0" applyNumberFormat="1" applyFont="1" applyFill="1" applyBorder="1" applyAlignment="1">
      <alignment horizontal="center" vertical="center"/>
    </xf>
    <xf numFmtId="0" fontId="8" fillId="12" borderId="47" xfId="0" applyNumberFormat="1" applyFont="1" applyFill="1" applyBorder="1" applyAlignment="1">
      <alignment horizontal="center" vertical="center"/>
    </xf>
    <xf numFmtId="0" fontId="8" fillId="12" borderId="48" xfId="0" applyFont="1" applyFill="1" applyBorder="1" applyAlignment="1">
      <alignment horizontal="center" vertical="center"/>
    </xf>
    <xf numFmtId="0" fontId="10" fillId="0" borderId="29" xfId="0" applyFont="1" applyFill="1" applyBorder="1" applyAlignment="1">
      <alignment horizontal="center" vertical="center"/>
    </xf>
    <xf numFmtId="0" fontId="10" fillId="0" borderId="38" xfId="0" applyFont="1" applyFill="1" applyBorder="1" applyAlignment="1">
      <alignment horizontal="center" vertical="center"/>
    </xf>
    <xf numFmtId="0" fontId="10" fillId="0" borderId="25" xfId="0" applyFont="1" applyFill="1" applyBorder="1" applyAlignment="1">
      <alignment horizontal="center" vertical="center"/>
    </xf>
    <xf numFmtId="0" fontId="10" fillId="0" borderId="26" xfId="0" applyFont="1" applyFill="1" applyBorder="1" applyAlignment="1">
      <alignment horizontal="center" vertical="center"/>
    </xf>
    <xf numFmtId="0" fontId="11" fillId="0" borderId="26" xfId="0" applyFont="1" applyFill="1" applyBorder="1" applyAlignment="1">
      <alignment vertical="center"/>
    </xf>
    <xf numFmtId="0" fontId="10" fillId="0" borderId="26" xfId="0" applyFont="1" applyFill="1" applyBorder="1" applyAlignment="1">
      <alignment horizontal="center" vertical="center"/>
    </xf>
    <xf numFmtId="9" fontId="10" fillId="0" borderId="26" xfId="0" applyNumberFormat="1" applyFont="1" applyFill="1" applyBorder="1" applyAlignment="1">
      <alignment horizontal="center" vertical="center"/>
    </xf>
    <xf numFmtId="177" fontId="10" fillId="0" borderId="27" xfId="0" applyNumberFormat="1" applyFont="1" applyFill="1" applyBorder="1" applyAlignment="1">
      <alignment horizontal="center" vertical="center"/>
    </xf>
    <xf numFmtId="0" fontId="8" fillId="4" borderId="41" xfId="0" applyNumberFormat="1" applyFont="1" applyFill="1" applyBorder="1" applyAlignment="1">
      <alignment horizontal="center" vertical="center"/>
    </xf>
    <xf numFmtId="176" fontId="8" fillId="4" borderId="42" xfId="0" applyNumberFormat="1" applyFont="1" applyFill="1" applyBorder="1" applyAlignment="1">
      <alignment horizontal="center" vertical="center"/>
    </xf>
    <xf numFmtId="0" fontId="8" fillId="4" borderId="32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24" fillId="0" borderId="49" xfId="0" applyFont="1" applyBorder="1" applyAlignment="1">
      <alignment horizontal="center" vertical="center" textRotation="255"/>
    </xf>
    <xf numFmtId="0" fontId="24" fillId="0" borderId="50" xfId="0" applyFont="1" applyBorder="1" applyAlignment="1">
      <alignment horizontal="center" vertical="center" textRotation="255"/>
    </xf>
    <xf numFmtId="0" fontId="24" fillId="0" borderId="51" xfId="0" applyFont="1" applyBorder="1" applyAlignment="1">
      <alignment horizontal="center" vertical="center" textRotation="255"/>
    </xf>
    <xf numFmtId="0" fontId="6" fillId="0" borderId="33" xfId="0" applyFont="1" applyFill="1" applyBorder="1">
      <alignment vertical="center"/>
    </xf>
    <xf numFmtId="0" fontId="6" fillId="2" borderId="29" xfId="0" applyFont="1" applyFill="1" applyBorder="1">
      <alignment vertical="center"/>
    </xf>
  </cellXfs>
  <cellStyles count="6">
    <cellStyle name="常规" xfId="0" builtinId="0"/>
    <cellStyle name="常规 2" xfId="1"/>
    <cellStyle name="常规 2 2" xfId="2"/>
    <cellStyle name="常规 3" xfId="3"/>
    <cellStyle name="常规 3 2" xfId="4"/>
    <cellStyle name="常规 4" xfId="5"/>
  </cellStyles>
  <dxfs count="4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FFFF00"/>
      <color rgb="FF996633"/>
      <color rgb="FFFF33CC"/>
      <color rgb="FFFF3399"/>
      <color rgb="FF66FFCC"/>
      <color rgb="FFBBE3C5"/>
      <color rgb="FFFFF1AB"/>
      <color rgb="FFFBA7A9"/>
      <color rgb="FFFBAFB1"/>
      <color rgb="FFFFF2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723900</xdr:colOff>
      <xdr:row>30</xdr:row>
      <xdr:rowOff>28575</xdr:rowOff>
    </xdr:from>
    <xdr:to>
      <xdr:col>11</xdr:col>
      <xdr:colOff>857250</xdr:colOff>
      <xdr:row>30</xdr:row>
      <xdr:rowOff>228600</xdr:rowOff>
    </xdr:to>
    <xdr:sp macro="" textlink="">
      <xdr:nvSpPr>
        <xdr:cNvPr id="3" name="上箭头 2"/>
        <xdr:cNvSpPr/>
      </xdr:nvSpPr>
      <xdr:spPr>
        <a:xfrm>
          <a:off x="10848975" y="7753350"/>
          <a:ext cx="133350" cy="200025"/>
        </a:xfrm>
        <a:prstGeom prst="upArrow">
          <a:avLst>
            <a:gd name="adj1" fmla="val 32727"/>
            <a:gd name="adj2" fmla="val 59019"/>
          </a:avLst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12</xdr:col>
      <xdr:colOff>733425</xdr:colOff>
      <xdr:row>30</xdr:row>
      <xdr:rowOff>19050</xdr:rowOff>
    </xdr:from>
    <xdr:to>
      <xdr:col>12</xdr:col>
      <xdr:colOff>866775</xdr:colOff>
      <xdr:row>30</xdr:row>
      <xdr:rowOff>219075</xdr:rowOff>
    </xdr:to>
    <xdr:sp macro="" textlink="">
      <xdr:nvSpPr>
        <xdr:cNvPr id="4" name="上箭头 3"/>
        <xdr:cNvSpPr/>
      </xdr:nvSpPr>
      <xdr:spPr>
        <a:xfrm rot="10800000">
          <a:off x="11830050" y="7743825"/>
          <a:ext cx="133350" cy="200025"/>
        </a:xfrm>
        <a:prstGeom prst="upArrow">
          <a:avLst>
            <a:gd name="adj1" fmla="val 32727"/>
            <a:gd name="adj2" fmla="val 59019"/>
          </a:avLst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110"/>
  <sheetViews>
    <sheetView tabSelected="1"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M49" sqref="M49"/>
    </sheetView>
  </sheetViews>
  <sheetFormatPr defaultRowHeight="18.75" outlineLevelCol="1" x14ac:dyDescent="0.15"/>
  <cols>
    <col min="1" max="2" width="10.75" style="4" customWidth="1" outlineLevel="1"/>
    <col min="3" max="3" width="18.125" style="2" customWidth="1" outlineLevel="1"/>
    <col min="4" max="4" width="14.25" style="2" customWidth="1" outlineLevel="1"/>
    <col min="5" max="5" width="14.5" style="13" customWidth="1" outlineLevel="1"/>
    <col min="6" max="6" width="2.5" style="3" customWidth="1" outlineLevel="1"/>
    <col min="7" max="7" width="16.375" style="2" customWidth="1" outlineLevel="1"/>
    <col min="8" max="8" width="14.25" style="2" customWidth="1" outlineLevel="1"/>
    <col min="9" max="9" width="11.25" style="2" customWidth="1" outlineLevel="1"/>
    <col min="10" max="10" width="15" style="2" customWidth="1" outlineLevel="1"/>
    <col min="11" max="11" width="20.125" customWidth="1"/>
    <col min="12" max="16" width="12.25" customWidth="1"/>
    <col min="17" max="26" width="9" hidden="1" customWidth="1"/>
    <col min="27" max="27" width="7.5" hidden="1" customWidth="1"/>
    <col min="28" max="28" width="7.375" customWidth="1"/>
  </cols>
  <sheetData>
    <row r="1" spans="1:30" s="3" customFormat="1" ht="37.5" customHeight="1" thickBot="1" x14ac:dyDescent="0.2">
      <c r="A1" s="110" t="s">
        <v>108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56" t="s">
        <v>76</v>
      </c>
      <c r="P1" s="70">
        <f>SUMIF(T3:T28,"&lt;&gt;44",D3:D28)/7</f>
        <v>174.85714285714286</v>
      </c>
    </row>
    <row r="2" spans="1:30" s="7" customFormat="1" ht="24.95" customHeight="1" thickBot="1" x14ac:dyDescent="0.2">
      <c r="A2" s="15" t="s">
        <v>40</v>
      </c>
      <c r="B2" s="16" t="s">
        <v>46</v>
      </c>
      <c r="C2" s="16" t="s">
        <v>41</v>
      </c>
      <c r="D2" s="17" t="s">
        <v>9</v>
      </c>
      <c r="E2" s="35" t="s">
        <v>66</v>
      </c>
      <c r="F2" s="31"/>
      <c r="G2" s="36" t="s">
        <v>65</v>
      </c>
      <c r="H2" s="16" t="s">
        <v>94</v>
      </c>
      <c r="I2" s="16" t="s">
        <v>37</v>
      </c>
      <c r="J2" s="16" t="s">
        <v>18</v>
      </c>
      <c r="K2" s="18" t="s">
        <v>36</v>
      </c>
      <c r="L2" s="83" t="s">
        <v>19</v>
      </c>
      <c r="M2" s="84"/>
      <c r="N2" s="84"/>
      <c r="O2" s="84"/>
      <c r="P2" s="85"/>
    </row>
    <row r="3" spans="1:30" s="8" customFormat="1" ht="20.100000000000001" customHeight="1" x14ac:dyDescent="0.15">
      <c r="A3" s="59">
        <v>905</v>
      </c>
      <c r="B3" s="60">
        <v>58</v>
      </c>
      <c r="C3" s="139" t="s">
        <v>35</v>
      </c>
      <c r="D3" s="60">
        <v>112</v>
      </c>
      <c r="E3" s="61">
        <v>102</v>
      </c>
      <c r="F3" s="62">
        <f>E3-G3</f>
        <v>1</v>
      </c>
      <c r="G3" s="60">
        <v>101</v>
      </c>
      <c r="H3" s="60">
        <v>5</v>
      </c>
      <c r="I3" s="63">
        <v>1</v>
      </c>
      <c r="J3" s="60"/>
      <c r="K3" s="140">
        <f>((((D3*25%+E3*75%+H3*3+J3*5+0.25*(E3-G3))*(1-(1-I3)/2))+A3/20)/B3*30-17.76)/40.13*65.27</f>
        <v>109.92428847624528</v>
      </c>
      <c r="L3" s="104" t="s">
        <v>78</v>
      </c>
      <c r="M3" s="104"/>
      <c r="N3" s="104"/>
      <c r="O3" s="104"/>
      <c r="P3" s="105"/>
      <c r="Q3" s="30">
        <f>getcell</f>
        <v>0</v>
      </c>
      <c r="R3" s="30">
        <f>getcell</f>
        <v>0</v>
      </c>
      <c r="S3" s="30">
        <f>getcell</f>
        <v>10</v>
      </c>
      <c r="T3" s="30">
        <f>getcell</f>
        <v>0</v>
      </c>
      <c r="U3" s="30">
        <f>getcell</f>
        <v>0</v>
      </c>
      <c r="V3" s="30">
        <f>getcell</f>
        <v>0</v>
      </c>
      <c r="W3" s="30">
        <f>getcell</f>
        <v>0</v>
      </c>
      <c r="X3" s="30">
        <f>getcell</f>
        <v>0</v>
      </c>
      <c r="Y3" s="30">
        <f>getcell</f>
        <v>0</v>
      </c>
      <c r="Z3" s="30">
        <f>getcell</f>
        <v>0</v>
      </c>
      <c r="AA3" s="30">
        <f>getcell</f>
        <v>0</v>
      </c>
      <c r="AB3" s="165" t="s">
        <v>109</v>
      </c>
      <c r="AC3" s="30"/>
    </row>
    <row r="4" spans="1:30" s="8" customFormat="1" ht="20.100000000000001" customHeight="1" x14ac:dyDescent="0.15">
      <c r="A4" s="41">
        <v>1017</v>
      </c>
      <c r="B4" s="12">
        <v>61</v>
      </c>
      <c r="C4" s="53" t="s">
        <v>80</v>
      </c>
      <c r="D4" s="12">
        <v>110</v>
      </c>
      <c r="E4" s="22">
        <v>92</v>
      </c>
      <c r="F4" s="23">
        <f>E4-G4</f>
        <v>5</v>
      </c>
      <c r="G4" s="12">
        <v>87</v>
      </c>
      <c r="H4" s="12">
        <v>6</v>
      </c>
      <c r="I4" s="24">
        <v>1</v>
      </c>
      <c r="J4" s="12"/>
      <c r="K4" s="42">
        <f>((((D4*25%+E4*75%+H4*3+J4*5+0.25*(F4))*(1-(1-I4)/2))+A4/20)/B4*30-17.76)/40.13*65.27</f>
        <v>104.37739347121851</v>
      </c>
      <c r="L4" s="106"/>
      <c r="M4" s="106"/>
      <c r="N4" s="106"/>
      <c r="O4" s="106"/>
      <c r="P4" s="107"/>
      <c r="Q4" s="30">
        <f>getcell</f>
        <v>0</v>
      </c>
      <c r="R4" s="30">
        <f>getcell</f>
        <v>0</v>
      </c>
      <c r="S4" s="30">
        <f>getcell</f>
        <v>43</v>
      </c>
      <c r="T4" s="30">
        <f>getcell</f>
        <v>0</v>
      </c>
      <c r="U4" s="30">
        <f>getcell</f>
        <v>0</v>
      </c>
      <c r="V4" s="30">
        <f>getcell</f>
        <v>0</v>
      </c>
      <c r="W4" s="30">
        <f>getcell</f>
        <v>0</v>
      </c>
      <c r="X4" s="30">
        <f>getcell</f>
        <v>0</v>
      </c>
      <c r="Y4" s="30">
        <f>getcell</f>
        <v>0</v>
      </c>
      <c r="Z4" s="30">
        <f>getcell</f>
        <v>0</v>
      </c>
      <c r="AA4" s="30">
        <f>getcell</f>
        <v>0</v>
      </c>
      <c r="AB4" s="166"/>
      <c r="AC4" s="30"/>
      <c r="AD4" s="10"/>
    </row>
    <row r="5" spans="1:30" s="9" customFormat="1" ht="19.5" customHeight="1" x14ac:dyDescent="0.15">
      <c r="A5" s="41">
        <v>634</v>
      </c>
      <c r="B5" s="12">
        <v>54</v>
      </c>
      <c r="C5" s="53" t="s">
        <v>28</v>
      </c>
      <c r="D5" s="12">
        <v>78</v>
      </c>
      <c r="E5" s="22">
        <v>66</v>
      </c>
      <c r="F5" s="23">
        <f>E5-G5</f>
        <v>2</v>
      </c>
      <c r="G5" s="12">
        <v>64</v>
      </c>
      <c r="H5" s="12">
        <v>6</v>
      </c>
      <c r="I5" s="24">
        <v>1</v>
      </c>
      <c r="J5" s="12"/>
      <c r="K5" s="42">
        <f>((((D5*25%+E5*75%+H5*3+J5*5+0.25*(E5-G5))*(1-(1-I5)/2))+A5/20)/B5*30-17.76)/40.13*65.27</f>
        <v>78.822059418002567</v>
      </c>
      <c r="L5" s="106"/>
      <c r="M5" s="106"/>
      <c r="N5" s="106"/>
      <c r="O5" s="106"/>
      <c r="P5" s="107"/>
      <c r="Q5" s="30">
        <f>getcell</f>
        <v>0</v>
      </c>
      <c r="R5" s="30">
        <f>getcell</f>
        <v>0</v>
      </c>
      <c r="S5" s="30">
        <f>getcell</f>
        <v>43</v>
      </c>
      <c r="T5" s="30">
        <f>getcell</f>
        <v>0</v>
      </c>
      <c r="U5" s="30">
        <f>getcell</f>
        <v>0</v>
      </c>
      <c r="V5" s="30">
        <f>getcell</f>
        <v>0</v>
      </c>
      <c r="W5" s="30">
        <f>getcell</f>
        <v>0</v>
      </c>
      <c r="X5" s="30">
        <f>getcell</f>
        <v>0</v>
      </c>
      <c r="Y5" s="30">
        <f>getcell</f>
        <v>0</v>
      </c>
      <c r="Z5" s="30">
        <f>getcell</f>
        <v>0</v>
      </c>
      <c r="AA5" s="30">
        <f>getcell</f>
        <v>0</v>
      </c>
      <c r="AB5" s="166"/>
      <c r="AC5" s="30"/>
      <c r="AD5" s="10"/>
    </row>
    <row r="6" spans="1:30" s="8" customFormat="1" ht="20.100000000000001" customHeight="1" x14ac:dyDescent="0.15">
      <c r="A6" s="41">
        <v>670</v>
      </c>
      <c r="B6" s="12">
        <v>57</v>
      </c>
      <c r="C6" s="57" t="s">
        <v>1</v>
      </c>
      <c r="D6" s="12">
        <v>74</v>
      </c>
      <c r="E6" s="22">
        <v>70</v>
      </c>
      <c r="F6" s="23">
        <f>E6-G6</f>
        <v>1</v>
      </c>
      <c r="G6" s="12">
        <v>69</v>
      </c>
      <c r="H6" s="12">
        <v>5</v>
      </c>
      <c r="I6" s="24">
        <v>1</v>
      </c>
      <c r="J6" s="12"/>
      <c r="K6" s="42">
        <f>((((D6*25%+E6*75%+H6*3+J6*5+0.25*(E6-G6))*(1-(1-I6)/2))+A6/20)/B6*30-17.76)/40.13*65.27</f>
        <v>73.62403268325312</v>
      </c>
      <c r="L6" s="106"/>
      <c r="M6" s="106"/>
      <c r="N6" s="106"/>
      <c r="O6" s="106"/>
      <c r="P6" s="107"/>
      <c r="Q6" s="30">
        <f>getcell</f>
        <v>0</v>
      </c>
      <c r="R6" s="30">
        <f>getcell</f>
        <v>0</v>
      </c>
      <c r="S6" s="30">
        <f>getcell</f>
        <v>43</v>
      </c>
      <c r="T6" s="30">
        <f>getcell</f>
        <v>0</v>
      </c>
      <c r="U6" s="30">
        <f>getcell</f>
        <v>0</v>
      </c>
      <c r="V6" s="30">
        <f>getcell</f>
        <v>0</v>
      </c>
      <c r="W6" s="30">
        <f>getcell</f>
        <v>0</v>
      </c>
      <c r="X6" s="30">
        <f>getcell</f>
        <v>0</v>
      </c>
      <c r="Y6" s="30">
        <f>getcell</f>
        <v>0</v>
      </c>
      <c r="Z6" s="30">
        <f>getcell</f>
        <v>0</v>
      </c>
      <c r="AA6" s="30">
        <f>getcell</f>
        <v>0</v>
      </c>
      <c r="AB6" s="166"/>
      <c r="AC6" s="30"/>
      <c r="AD6" s="10"/>
    </row>
    <row r="7" spans="1:30" s="8" customFormat="1" ht="20.100000000000001" customHeight="1" x14ac:dyDescent="0.15">
      <c r="A7" s="41">
        <v>567</v>
      </c>
      <c r="B7" s="12">
        <v>48</v>
      </c>
      <c r="C7" s="69" t="s">
        <v>83</v>
      </c>
      <c r="D7" s="12">
        <v>62</v>
      </c>
      <c r="E7" s="22">
        <v>50</v>
      </c>
      <c r="F7" s="23">
        <f>E7-G7</f>
        <v>1</v>
      </c>
      <c r="G7" s="12">
        <v>49</v>
      </c>
      <c r="H7" s="12">
        <v>5</v>
      </c>
      <c r="I7" s="24">
        <v>1</v>
      </c>
      <c r="J7" s="12"/>
      <c r="K7" s="42">
        <f>((((D7*25%+E7*75%+H7*3+J7*5+0.25*(F7))*(1-(1-I7)/2))+A7/20)/B7*30-17.76)/40.13*65.27</f>
        <v>69.311763020184387</v>
      </c>
      <c r="L7" s="106"/>
      <c r="M7" s="106"/>
      <c r="N7" s="106"/>
      <c r="O7" s="106"/>
      <c r="P7" s="107"/>
      <c r="Q7" s="30">
        <f>getcell</f>
        <v>0</v>
      </c>
      <c r="R7" s="30">
        <f>getcell</f>
        <v>0</v>
      </c>
      <c r="S7" s="30">
        <f>getcell</f>
        <v>0</v>
      </c>
      <c r="T7" s="30">
        <f>getcell</f>
        <v>0</v>
      </c>
      <c r="U7" s="30">
        <f>getcell</f>
        <v>0</v>
      </c>
      <c r="V7" s="30">
        <f>getcell</f>
        <v>0</v>
      </c>
      <c r="W7" s="30">
        <f>getcell</f>
        <v>0</v>
      </c>
      <c r="X7" s="30">
        <f>getcell</f>
        <v>0</v>
      </c>
      <c r="Y7" s="30">
        <f>getcell</f>
        <v>0</v>
      </c>
      <c r="Z7" s="30">
        <f>getcell</f>
        <v>0</v>
      </c>
      <c r="AA7" s="30">
        <f>getcell</f>
        <v>0</v>
      </c>
      <c r="AB7" s="166"/>
      <c r="AC7" s="30"/>
      <c r="AD7" s="10"/>
    </row>
    <row r="8" spans="1:30" s="8" customFormat="1" ht="20.100000000000001" customHeight="1" x14ac:dyDescent="0.15">
      <c r="A8" s="41">
        <v>582</v>
      </c>
      <c r="B8" s="12">
        <v>51</v>
      </c>
      <c r="C8" s="34" t="s">
        <v>67</v>
      </c>
      <c r="D8" s="12">
        <v>59</v>
      </c>
      <c r="E8" s="22">
        <v>62</v>
      </c>
      <c r="F8" s="23">
        <f>E8-G8</f>
        <v>-1</v>
      </c>
      <c r="G8" s="12">
        <v>63</v>
      </c>
      <c r="H8" s="12">
        <v>4</v>
      </c>
      <c r="I8" s="24">
        <v>1</v>
      </c>
      <c r="J8" s="12"/>
      <c r="K8" s="42">
        <f>((((D8*25%+E8*75%+H8*3+J8*5+0.25*(E8-G8))*(1-(1-I8)/2))+A8/20)/B8*30-17.76)/40.13*65.27</f>
        <v>68.797513375646787</v>
      </c>
      <c r="L8" s="106"/>
      <c r="M8" s="106"/>
      <c r="N8" s="106"/>
      <c r="O8" s="106"/>
      <c r="P8" s="107"/>
      <c r="Q8" s="30">
        <f>getcell</f>
        <v>0</v>
      </c>
      <c r="R8" s="30">
        <f>getcell</f>
        <v>0</v>
      </c>
      <c r="S8" s="30">
        <f>getcell</f>
        <v>37</v>
      </c>
      <c r="T8" s="30">
        <f>getcell</f>
        <v>0</v>
      </c>
      <c r="U8" s="30">
        <f>getcell</f>
        <v>0</v>
      </c>
      <c r="V8" s="30">
        <f>getcell</f>
        <v>0</v>
      </c>
      <c r="W8" s="30">
        <f>getcell</f>
        <v>0</v>
      </c>
      <c r="X8" s="30">
        <f>getcell</f>
        <v>0</v>
      </c>
      <c r="Y8" s="30">
        <f>getcell</f>
        <v>0</v>
      </c>
      <c r="Z8" s="30">
        <f>getcell</f>
        <v>0</v>
      </c>
      <c r="AA8" s="30">
        <f>getcell</f>
        <v>0</v>
      </c>
      <c r="AB8" s="166"/>
      <c r="AC8" s="30"/>
      <c r="AD8" s="10"/>
    </row>
    <row r="9" spans="1:30" s="8" customFormat="1" ht="20.100000000000001" customHeight="1" x14ac:dyDescent="0.15">
      <c r="A9" s="41">
        <v>659</v>
      </c>
      <c r="B9" s="12">
        <v>55</v>
      </c>
      <c r="C9" s="58" t="s">
        <v>82</v>
      </c>
      <c r="D9" s="12">
        <v>62</v>
      </c>
      <c r="E9" s="22">
        <v>53</v>
      </c>
      <c r="F9" s="23">
        <f>E9-G9</f>
        <v>5</v>
      </c>
      <c r="G9" s="12">
        <v>48</v>
      </c>
      <c r="H9" s="12">
        <v>6</v>
      </c>
      <c r="I9" s="24">
        <v>1</v>
      </c>
      <c r="J9" s="12"/>
      <c r="K9" s="42">
        <f>((((D9*25%+E9*75%+H9*3+J9*5+0.25*(E9-G9))*(1-(1-I9)/2))+A9/20)/B9*30-17.76)/40.13*65.27</f>
        <v>66.439575470629521</v>
      </c>
      <c r="L9" s="106"/>
      <c r="M9" s="106"/>
      <c r="N9" s="106"/>
      <c r="O9" s="106"/>
      <c r="P9" s="107"/>
      <c r="Q9" s="30">
        <f>getcell</f>
        <v>0</v>
      </c>
      <c r="R9" s="30">
        <f>getcell</f>
        <v>0</v>
      </c>
      <c r="S9" s="30">
        <f>getcell</f>
        <v>0</v>
      </c>
      <c r="T9" s="30">
        <f>getcell</f>
        <v>0</v>
      </c>
      <c r="U9" s="30">
        <f>getcell</f>
        <v>0</v>
      </c>
      <c r="V9" s="30">
        <f>getcell</f>
        <v>0</v>
      </c>
      <c r="W9" s="30">
        <f>getcell</f>
        <v>0</v>
      </c>
      <c r="X9" s="30">
        <f>getcell</f>
        <v>0</v>
      </c>
      <c r="Y9" s="30">
        <f>getcell</f>
        <v>0</v>
      </c>
      <c r="Z9" s="30">
        <f>getcell</f>
        <v>0</v>
      </c>
      <c r="AA9" s="30">
        <f>getcell</f>
        <v>0</v>
      </c>
      <c r="AB9" s="166"/>
      <c r="AC9" s="30"/>
      <c r="AD9" s="10"/>
    </row>
    <row r="10" spans="1:30" s="9" customFormat="1" ht="20.100000000000001" customHeight="1" x14ac:dyDescent="0.15">
      <c r="A10" s="41">
        <v>567</v>
      </c>
      <c r="B10" s="12">
        <v>48</v>
      </c>
      <c r="C10" s="32" t="s">
        <v>27</v>
      </c>
      <c r="D10" s="12">
        <v>77</v>
      </c>
      <c r="E10" s="22">
        <v>60</v>
      </c>
      <c r="F10" s="23">
        <f>E10-G10</f>
        <v>1</v>
      </c>
      <c r="G10" s="12">
        <v>59</v>
      </c>
      <c r="H10" s="12">
        <v>3</v>
      </c>
      <c r="I10" s="24">
        <v>0.75</v>
      </c>
      <c r="J10" s="12"/>
      <c r="K10" s="42">
        <f>((((D10*25%+E10*75%+H10*3+J10*5+0.25*(E10-G10))*(1-(1-I10)/2))+A10/20)/B10*30-17.76)/40.13*65.27</f>
        <v>65.309136789808107</v>
      </c>
      <c r="L10" s="106"/>
      <c r="M10" s="106"/>
      <c r="N10" s="106"/>
      <c r="O10" s="106"/>
      <c r="P10" s="107"/>
      <c r="Q10" s="30">
        <f>getcell</f>
        <v>0</v>
      </c>
      <c r="R10" s="30">
        <f>getcell</f>
        <v>0</v>
      </c>
      <c r="S10" s="30">
        <f>getcell</f>
        <v>37</v>
      </c>
      <c r="T10" s="30">
        <f>getcell</f>
        <v>0</v>
      </c>
      <c r="U10" s="30">
        <f>getcell</f>
        <v>0</v>
      </c>
      <c r="V10" s="30">
        <f>getcell</f>
        <v>0</v>
      </c>
      <c r="W10" s="30">
        <f>getcell</f>
        <v>0</v>
      </c>
      <c r="X10" s="30">
        <f>getcell</f>
        <v>0</v>
      </c>
      <c r="Y10" s="30">
        <f>getcell</f>
        <v>0</v>
      </c>
      <c r="Z10" s="30">
        <f>getcell</f>
        <v>0</v>
      </c>
      <c r="AA10" s="30">
        <f>getcell</f>
        <v>0</v>
      </c>
      <c r="AB10" s="166"/>
      <c r="AC10" s="30"/>
      <c r="AD10" s="10"/>
    </row>
    <row r="11" spans="1:30" s="9" customFormat="1" ht="20.100000000000001" customHeight="1" x14ac:dyDescent="0.15">
      <c r="A11" s="41">
        <v>661</v>
      </c>
      <c r="B11" s="12">
        <v>54</v>
      </c>
      <c r="C11" s="32" t="s">
        <v>33</v>
      </c>
      <c r="D11" s="12">
        <v>60</v>
      </c>
      <c r="E11" s="22">
        <v>63</v>
      </c>
      <c r="F11" s="23">
        <f>E11-G11</f>
        <v>-1</v>
      </c>
      <c r="G11" s="12">
        <v>64</v>
      </c>
      <c r="H11" s="12">
        <v>5</v>
      </c>
      <c r="I11" s="24">
        <v>0.83</v>
      </c>
      <c r="J11" s="12"/>
      <c r="K11" s="42">
        <f>((((D11*25%+E11*75%+H11*3+J11*5+0.25*(E11-G11))*(1-(1-I11)/2))+A11/20)/B11*30-17.76)/40.13*65.27</f>
        <v>64.64019699864329</v>
      </c>
      <c r="L11" s="106"/>
      <c r="M11" s="106"/>
      <c r="N11" s="106"/>
      <c r="O11" s="106"/>
      <c r="P11" s="107"/>
      <c r="Q11" s="30">
        <f>getcell</f>
        <v>0</v>
      </c>
      <c r="R11" s="30">
        <f>getcell</f>
        <v>0</v>
      </c>
      <c r="S11" s="30">
        <f>getcell</f>
        <v>37</v>
      </c>
      <c r="T11" s="30">
        <f>getcell</f>
        <v>0</v>
      </c>
      <c r="U11" s="30">
        <f>getcell</f>
        <v>0</v>
      </c>
      <c r="V11" s="30">
        <f>getcell</f>
        <v>0</v>
      </c>
      <c r="W11" s="30">
        <f>getcell</f>
        <v>0</v>
      </c>
      <c r="X11" s="30">
        <f>getcell</f>
        <v>0</v>
      </c>
      <c r="Y11" s="30">
        <f>getcell</f>
        <v>0</v>
      </c>
      <c r="Z11" s="30">
        <f>getcell</f>
        <v>0</v>
      </c>
      <c r="AA11" s="30">
        <f>getcell</f>
        <v>0</v>
      </c>
      <c r="AB11" s="166"/>
      <c r="AC11" s="30"/>
      <c r="AD11" s="10"/>
    </row>
    <row r="12" spans="1:30" s="8" customFormat="1" ht="20.100000000000001" customHeight="1" x14ac:dyDescent="0.15">
      <c r="A12" s="41">
        <v>590</v>
      </c>
      <c r="B12" s="12">
        <v>52</v>
      </c>
      <c r="C12" s="136" t="s">
        <v>38</v>
      </c>
      <c r="D12" s="12">
        <v>59</v>
      </c>
      <c r="E12" s="22">
        <v>55</v>
      </c>
      <c r="F12" s="23">
        <f>E12-G12</f>
        <v>1</v>
      </c>
      <c r="G12" s="12">
        <v>54</v>
      </c>
      <c r="H12" s="12">
        <v>3</v>
      </c>
      <c r="I12" s="24">
        <v>1</v>
      </c>
      <c r="J12" s="12"/>
      <c r="K12" s="42">
        <f>((((D12*25%+E12*75%+H12*3+J12*5+0.25*(F12))*(1-(1-I12)/2))+A12/20)/B12*30-17.76)/40.13*65.27</f>
        <v>60.022151373420996</v>
      </c>
      <c r="L12" s="106"/>
      <c r="M12" s="106"/>
      <c r="N12" s="106"/>
      <c r="O12" s="106"/>
      <c r="P12" s="107"/>
      <c r="Q12" s="30">
        <f>getcell</f>
        <v>0</v>
      </c>
      <c r="R12" s="30">
        <f>getcell</f>
        <v>0</v>
      </c>
      <c r="S12" s="30">
        <f>getcell</f>
        <v>0</v>
      </c>
      <c r="T12" s="30">
        <f>getcell</f>
        <v>0</v>
      </c>
      <c r="U12" s="30">
        <f>getcell</f>
        <v>0</v>
      </c>
      <c r="V12" s="30">
        <f>getcell</f>
        <v>0</v>
      </c>
      <c r="W12" s="30">
        <f>getcell</f>
        <v>0</v>
      </c>
      <c r="X12" s="30">
        <f>getcell</f>
        <v>0</v>
      </c>
      <c r="Y12" s="30">
        <f>getcell</f>
        <v>0</v>
      </c>
      <c r="Z12" s="30">
        <f>getcell</f>
        <v>0</v>
      </c>
      <c r="AA12" s="30">
        <f>getcell</f>
        <v>0</v>
      </c>
      <c r="AB12" s="166"/>
      <c r="AC12" s="30"/>
      <c r="AD12" s="10"/>
    </row>
    <row r="13" spans="1:30" s="8" customFormat="1" ht="20.100000000000001" customHeight="1" x14ac:dyDescent="0.15">
      <c r="A13" s="41">
        <v>540</v>
      </c>
      <c r="B13" s="12">
        <v>50</v>
      </c>
      <c r="C13" s="69" t="s">
        <v>3</v>
      </c>
      <c r="D13" s="12">
        <v>46</v>
      </c>
      <c r="E13" s="22">
        <v>46</v>
      </c>
      <c r="F13" s="23">
        <f>E13-G13</f>
        <v>-1</v>
      </c>
      <c r="G13" s="12">
        <v>47</v>
      </c>
      <c r="H13" s="12">
        <v>6</v>
      </c>
      <c r="I13" s="24">
        <v>1</v>
      </c>
      <c r="J13" s="12"/>
      <c r="K13" s="42">
        <f>((((D13*25%+E13*75%+H13*3+J13*5+0.25*(F13))*(1-(1-I13)/2))+A13/20)/B13*30-17.76)/40.13*65.27</f>
        <v>59.67496386743084</v>
      </c>
      <c r="L13" s="106"/>
      <c r="M13" s="106"/>
      <c r="N13" s="106"/>
      <c r="O13" s="106"/>
      <c r="P13" s="107"/>
      <c r="Q13" s="30">
        <f>getcell</f>
        <v>0</v>
      </c>
      <c r="R13" s="30">
        <f>getcell</f>
        <v>0</v>
      </c>
      <c r="S13" s="30">
        <f>getcell</f>
        <v>0</v>
      </c>
      <c r="T13" s="30">
        <f>getcell</f>
        <v>0</v>
      </c>
      <c r="U13" s="30">
        <f>getcell</f>
        <v>0</v>
      </c>
      <c r="V13" s="30">
        <f>getcell</f>
        <v>0</v>
      </c>
      <c r="W13" s="30">
        <f>getcell</f>
        <v>0</v>
      </c>
      <c r="X13" s="30">
        <f>getcell</f>
        <v>0</v>
      </c>
      <c r="Y13" s="30">
        <f>getcell</f>
        <v>0</v>
      </c>
      <c r="Z13" s="30">
        <f>getcell</f>
        <v>0</v>
      </c>
      <c r="AA13" s="30">
        <f>getcell</f>
        <v>0</v>
      </c>
      <c r="AB13" s="166"/>
      <c r="AC13" s="30"/>
      <c r="AD13" s="10"/>
    </row>
    <row r="14" spans="1:30" s="8" customFormat="1" ht="20.100000000000001" customHeight="1" x14ac:dyDescent="0.15">
      <c r="A14" s="41">
        <v>716</v>
      </c>
      <c r="B14" s="12">
        <v>57</v>
      </c>
      <c r="C14" s="34" t="s">
        <v>32</v>
      </c>
      <c r="D14" s="12">
        <v>47</v>
      </c>
      <c r="E14" s="22">
        <v>49</v>
      </c>
      <c r="F14" s="23">
        <f>E14-G14</f>
        <v>0</v>
      </c>
      <c r="G14" s="12">
        <v>49</v>
      </c>
      <c r="H14" s="12">
        <v>6</v>
      </c>
      <c r="I14" s="24">
        <v>1</v>
      </c>
      <c r="J14" s="12"/>
      <c r="K14" s="42">
        <f>((((D14*25%+E14*75%+H14*3+J14*5+0.25*(F14))*(1-(1-I14)/2))+A14/20)/B14*30-17.76)/40.13*65.27</f>
        <v>58.686244967015092</v>
      </c>
      <c r="L14" s="106"/>
      <c r="M14" s="106"/>
      <c r="N14" s="106"/>
      <c r="O14" s="106"/>
      <c r="P14" s="107"/>
      <c r="Q14" s="30">
        <f>getcell</f>
        <v>0</v>
      </c>
      <c r="R14" s="30">
        <f>getcell</f>
        <v>0</v>
      </c>
      <c r="S14" s="30">
        <f>getcell</f>
        <v>37</v>
      </c>
      <c r="T14" s="30">
        <f>getcell</f>
        <v>0</v>
      </c>
      <c r="U14" s="30">
        <f>getcell</f>
        <v>0</v>
      </c>
      <c r="V14" s="30">
        <f>getcell</f>
        <v>0</v>
      </c>
      <c r="W14" s="30">
        <f>getcell</f>
        <v>0</v>
      </c>
      <c r="X14" s="30">
        <f>getcell</f>
        <v>0</v>
      </c>
      <c r="Y14" s="30">
        <f>getcell</f>
        <v>0</v>
      </c>
      <c r="Z14" s="30">
        <f>getcell</f>
        <v>0</v>
      </c>
      <c r="AA14" s="30">
        <f>getcell</f>
        <v>0</v>
      </c>
      <c r="AB14" s="166"/>
      <c r="AC14" s="30"/>
      <c r="AD14" s="10"/>
    </row>
    <row r="15" spans="1:30" s="9" customFormat="1" ht="20.100000000000001" customHeight="1" thickBot="1" x14ac:dyDescent="0.2">
      <c r="A15" s="71">
        <v>525</v>
      </c>
      <c r="B15" s="72">
        <v>50</v>
      </c>
      <c r="C15" s="168" t="s">
        <v>29</v>
      </c>
      <c r="D15" s="72">
        <v>48</v>
      </c>
      <c r="E15" s="73">
        <v>40</v>
      </c>
      <c r="F15" s="74">
        <f>E15-G15</f>
        <v>1</v>
      </c>
      <c r="G15" s="72">
        <v>39</v>
      </c>
      <c r="H15" s="72">
        <v>6</v>
      </c>
      <c r="I15" s="146">
        <v>1</v>
      </c>
      <c r="J15" s="72"/>
      <c r="K15" s="75">
        <f>((((D15*25%+E15*75%+H15*3+J15*5+0.25*(F15))*(1-(1-I15)/2))+A15/20)/B15*30-17.76)/40.13*65.27</f>
        <v>55.527480687764758</v>
      </c>
      <c r="L15" s="106"/>
      <c r="M15" s="106"/>
      <c r="N15" s="106"/>
      <c r="O15" s="106"/>
      <c r="P15" s="107"/>
      <c r="Q15" s="30">
        <f>getcell</f>
        <v>0</v>
      </c>
      <c r="R15" s="30">
        <f>getcell</f>
        <v>0</v>
      </c>
      <c r="S15" s="30">
        <f>getcell</f>
        <v>0</v>
      </c>
      <c r="T15" s="30">
        <f>getcell</f>
        <v>0</v>
      </c>
      <c r="U15" s="30">
        <f>getcell</f>
        <v>0</v>
      </c>
      <c r="V15" s="30">
        <f>getcell</f>
        <v>0</v>
      </c>
      <c r="W15" s="30">
        <f>getcell</f>
        <v>0</v>
      </c>
      <c r="X15" s="30">
        <f>getcell</f>
        <v>0</v>
      </c>
      <c r="Y15" s="30">
        <f>getcell</f>
        <v>0</v>
      </c>
      <c r="Z15" s="30">
        <f>getcell</f>
        <v>0</v>
      </c>
      <c r="AA15" s="30">
        <f>getcell</f>
        <v>0</v>
      </c>
      <c r="AB15" s="166"/>
      <c r="AC15" s="30"/>
      <c r="AD15" s="10"/>
    </row>
    <row r="16" spans="1:30" s="8" customFormat="1" ht="20.100000000000001" customHeight="1" thickBot="1" x14ac:dyDescent="0.2">
      <c r="A16" s="147" t="str">
        <f>A$56&amp;" "</f>
        <v xml:space="preserve">635.48 </v>
      </c>
      <c r="B16" s="148" t="str">
        <f>B$56&amp;" "</f>
        <v xml:space="preserve">53.48 </v>
      </c>
      <c r="C16" s="149" t="s">
        <v>64</v>
      </c>
      <c r="D16" s="148" t="str">
        <f>D$56&amp;" "</f>
        <v xml:space="preserve">53.22 </v>
      </c>
      <c r="E16" s="161" t="str">
        <f>E$56&amp;" "</f>
        <v xml:space="preserve">49.43 </v>
      </c>
      <c r="F16" s="162" t="str">
        <f>F$56&amp;""</f>
        <v/>
      </c>
      <c r="G16" s="148" t="str">
        <f>G$56&amp;" "</f>
        <v xml:space="preserve">56 </v>
      </c>
      <c r="H16" s="148" t="str">
        <f>H$56&amp;" "</f>
        <v xml:space="preserve">3.74 </v>
      </c>
      <c r="I16" s="148" t="str">
        <f>I$56&amp;" "</f>
        <v xml:space="preserve">0.78 </v>
      </c>
      <c r="J16" s="148"/>
      <c r="K16" s="150">
        <f>K$56</f>
        <v>53.99</v>
      </c>
      <c r="L16" s="108"/>
      <c r="M16" s="108"/>
      <c r="N16" s="108"/>
      <c r="O16" s="108"/>
      <c r="P16" s="109"/>
      <c r="Q16" s="30">
        <f>getcell</f>
        <v>44</v>
      </c>
      <c r="R16" s="30">
        <f>getcell</f>
        <v>44</v>
      </c>
      <c r="S16" s="30">
        <f>getcell</f>
        <v>44</v>
      </c>
      <c r="T16" s="30">
        <f>getcell</f>
        <v>44</v>
      </c>
      <c r="U16" s="30">
        <f>getcell</f>
        <v>44</v>
      </c>
      <c r="V16" s="30">
        <f>getcell</f>
        <v>44</v>
      </c>
      <c r="W16" s="30">
        <f>getcell</f>
        <v>44</v>
      </c>
      <c r="X16" s="30">
        <f>getcell</f>
        <v>44</v>
      </c>
      <c r="Y16" s="30">
        <f>getcell</f>
        <v>44</v>
      </c>
      <c r="Z16" s="30">
        <f>getcell</f>
        <v>44</v>
      </c>
      <c r="AA16" s="30">
        <f>getcell</f>
        <v>44</v>
      </c>
      <c r="AB16" s="167"/>
      <c r="AC16" s="30"/>
      <c r="AD16" s="10"/>
    </row>
    <row r="17" spans="1:30" s="8" customFormat="1" ht="20.100000000000001" customHeight="1" thickBot="1" x14ac:dyDescent="0.2">
      <c r="A17" s="64">
        <v>655</v>
      </c>
      <c r="B17" s="65">
        <v>50</v>
      </c>
      <c r="C17" s="169" t="s">
        <v>4</v>
      </c>
      <c r="D17" s="65">
        <v>48</v>
      </c>
      <c r="E17" s="66">
        <v>59</v>
      </c>
      <c r="F17" s="67">
        <f>E17-G17</f>
        <v>-2</v>
      </c>
      <c r="G17" s="65">
        <v>61</v>
      </c>
      <c r="H17" s="65">
        <v>3</v>
      </c>
      <c r="I17" s="68">
        <v>0.6</v>
      </c>
      <c r="J17" s="65"/>
      <c r="K17" s="137">
        <f>((((D17*25%+E17*75%+H17*3+J17*5+0.25*(E17-G17))*(1-(1-I17)/2))+A17/20)/B17*30-17.76)/40.13*65.27</f>
        <v>53.624517817094457</v>
      </c>
      <c r="L17" s="96" t="s">
        <v>42</v>
      </c>
      <c r="M17" s="96"/>
      <c r="N17" s="96"/>
      <c r="O17" s="96"/>
      <c r="P17" s="97"/>
      <c r="Q17" s="30">
        <f>getcell</f>
        <v>0</v>
      </c>
      <c r="R17" s="30">
        <f>getcell</f>
        <v>0</v>
      </c>
      <c r="S17" s="30">
        <f>getcell</f>
        <v>37</v>
      </c>
      <c r="T17" s="30">
        <f>getcell</f>
        <v>0</v>
      </c>
      <c r="U17" s="30">
        <f>getcell</f>
        <v>0</v>
      </c>
      <c r="V17" s="30">
        <f>getcell</f>
        <v>0</v>
      </c>
      <c r="W17" s="30">
        <f>getcell</f>
        <v>0</v>
      </c>
      <c r="X17" s="30">
        <f>getcell</f>
        <v>0</v>
      </c>
      <c r="Y17" s="30">
        <f>getcell</f>
        <v>0</v>
      </c>
      <c r="Z17" s="30">
        <f>getcell</f>
        <v>0</v>
      </c>
      <c r="AA17" s="30">
        <f>getcell</f>
        <v>0</v>
      </c>
      <c r="AB17" s="10"/>
      <c r="AC17" s="30"/>
      <c r="AD17" s="10"/>
    </row>
    <row r="18" spans="1:30" s="9" customFormat="1" ht="20.100000000000001" customHeight="1" x14ac:dyDescent="0.15">
      <c r="A18" s="41">
        <v>501</v>
      </c>
      <c r="B18" s="12">
        <v>47</v>
      </c>
      <c r="C18" s="33" t="s">
        <v>61</v>
      </c>
      <c r="D18" s="12">
        <v>48</v>
      </c>
      <c r="E18" s="22">
        <v>47</v>
      </c>
      <c r="F18" s="23">
        <f>E18-G18</f>
        <v>0</v>
      </c>
      <c r="G18" s="12">
        <v>47</v>
      </c>
      <c r="H18" s="12">
        <v>2</v>
      </c>
      <c r="I18" s="24">
        <v>1</v>
      </c>
      <c r="J18" s="12"/>
      <c r="K18" s="42">
        <f>((((D18*25%+E18*75%+H18*3+J18*5+0.25*(F18))*(1-(1-I18)/2))+A18/20)/B18*30-17.76)/40.13*65.27</f>
        <v>52.402593486063893</v>
      </c>
      <c r="L18" s="90" t="s">
        <v>70</v>
      </c>
      <c r="M18" s="90"/>
      <c r="N18" s="90"/>
      <c r="O18" s="90"/>
      <c r="P18" s="91"/>
      <c r="Q18" s="30">
        <f>getcell</f>
        <v>0</v>
      </c>
      <c r="R18" s="30">
        <f>getcell</f>
        <v>0</v>
      </c>
      <c r="S18" s="30">
        <f>getcell</f>
        <v>2</v>
      </c>
      <c r="T18" s="30">
        <f>getcell</f>
        <v>0</v>
      </c>
      <c r="U18" s="30">
        <f>getcell</f>
        <v>0</v>
      </c>
      <c r="V18" s="30">
        <f>getcell</f>
        <v>0</v>
      </c>
      <c r="W18" s="30">
        <f>getcell</f>
        <v>0</v>
      </c>
      <c r="X18" s="30">
        <f>getcell</f>
        <v>0</v>
      </c>
      <c r="Y18" s="30">
        <f>getcell</f>
        <v>0</v>
      </c>
      <c r="Z18" s="30">
        <f>getcell</f>
        <v>0</v>
      </c>
      <c r="AA18" s="30">
        <f>getcell</f>
        <v>0</v>
      </c>
      <c r="AB18" s="10"/>
      <c r="AC18" s="30"/>
      <c r="AD18" s="10"/>
    </row>
    <row r="19" spans="1:30" s="8" customFormat="1" ht="20.100000000000001" customHeight="1" x14ac:dyDescent="0.15">
      <c r="A19" s="41">
        <v>533</v>
      </c>
      <c r="B19" s="12">
        <v>50</v>
      </c>
      <c r="C19" s="33" t="s">
        <v>26</v>
      </c>
      <c r="D19" s="12">
        <v>40</v>
      </c>
      <c r="E19" s="22">
        <v>40</v>
      </c>
      <c r="F19" s="23">
        <f>E19-G19</f>
        <v>0</v>
      </c>
      <c r="G19" s="12">
        <v>40</v>
      </c>
      <c r="H19" s="12">
        <v>5</v>
      </c>
      <c r="I19" s="24">
        <v>1</v>
      </c>
      <c r="J19" s="12"/>
      <c r="K19" s="42">
        <f>((((D19*25%+E19*75%+H19*3+J19*5+0.25*(F19))*(1-(1-I19)/2))+A19/20)/B19*30-17.76)/40.13*65.27</f>
        <v>50.794470470969344</v>
      </c>
      <c r="L19" s="92"/>
      <c r="M19" s="92"/>
      <c r="N19" s="92"/>
      <c r="O19" s="92"/>
      <c r="P19" s="93"/>
      <c r="Q19" s="30">
        <f>getcell</f>
        <v>0</v>
      </c>
      <c r="R19" s="30">
        <f>getcell</f>
        <v>0</v>
      </c>
      <c r="S19" s="30">
        <f>getcell</f>
        <v>2</v>
      </c>
      <c r="T19" s="30">
        <f>getcell</f>
        <v>0</v>
      </c>
      <c r="U19" s="30">
        <f>getcell</f>
        <v>0</v>
      </c>
      <c r="V19" s="30">
        <f>getcell</f>
        <v>0</v>
      </c>
      <c r="W19" s="30">
        <f>getcell</f>
        <v>0</v>
      </c>
      <c r="X19" s="30">
        <f>getcell</f>
        <v>0</v>
      </c>
      <c r="Y19" s="30">
        <f>getcell</f>
        <v>0</v>
      </c>
      <c r="Z19" s="30">
        <f>getcell</f>
        <v>0</v>
      </c>
      <c r="AA19" s="30">
        <f>getcell</f>
        <v>0</v>
      </c>
      <c r="AB19" s="10"/>
      <c r="AC19" s="30"/>
      <c r="AD19" s="10"/>
    </row>
    <row r="20" spans="1:30" s="8" customFormat="1" ht="20.100000000000001" customHeight="1" x14ac:dyDescent="0.15">
      <c r="A20" s="41">
        <v>586</v>
      </c>
      <c r="B20" s="12">
        <v>52</v>
      </c>
      <c r="C20" s="32" t="s">
        <v>15</v>
      </c>
      <c r="D20" s="12">
        <v>53</v>
      </c>
      <c r="E20" s="22">
        <v>50</v>
      </c>
      <c r="F20" s="23">
        <f>E20-G20</f>
        <v>0</v>
      </c>
      <c r="G20" s="12">
        <v>50</v>
      </c>
      <c r="H20" s="12">
        <v>2</v>
      </c>
      <c r="I20" s="24">
        <v>0.66</v>
      </c>
      <c r="J20" s="12"/>
      <c r="K20" s="42">
        <f>((((D20*25%+E20*75%+H20*3+J20*5+0.25*(F20))*(1-(1-I20)/2))+A20/20)/B20*30-17.76)/40.13*65.27</f>
        <v>42.805873627058212</v>
      </c>
      <c r="L20" s="92"/>
      <c r="M20" s="92"/>
      <c r="N20" s="92"/>
      <c r="O20" s="92"/>
      <c r="P20" s="93"/>
      <c r="Q20" s="30">
        <f>getcell</f>
        <v>0</v>
      </c>
      <c r="R20" s="30">
        <f>getcell</f>
        <v>0</v>
      </c>
      <c r="S20" s="30">
        <f>getcell</f>
        <v>37</v>
      </c>
      <c r="T20" s="30">
        <f>getcell</f>
        <v>0</v>
      </c>
      <c r="U20" s="30">
        <f>getcell</f>
        <v>0</v>
      </c>
      <c r="V20" s="30">
        <f>getcell</f>
        <v>0</v>
      </c>
      <c r="W20" s="30">
        <f>getcell</f>
        <v>0</v>
      </c>
      <c r="X20" s="30">
        <f>getcell</f>
        <v>0</v>
      </c>
      <c r="Y20" s="30">
        <f>getcell</f>
        <v>0</v>
      </c>
      <c r="Z20" s="30">
        <f>getcell</f>
        <v>0</v>
      </c>
      <c r="AA20" s="30">
        <f>getcell</f>
        <v>0</v>
      </c>
      <c r="AB20" s="10"/>
      <c r="AC20" s="30"/>
      <c r="AD20" s="10"/>
    </row>
    <row r="21" spans="1:30" s="8" customFormat="1" ht="20.100000000000001" customHeight="1" x14ac:dyDescent="0.15">
      <c r="A21" s="41">
        <v>543</v>
      </c>
      <c r="B21" s="12">
        <v>59</v>
      </c>
      <c r="C21" s="58" t="s">
        <v>72</v>
      </c>
      <c r="D21" s="12">
        <v>52</v>
      </c>
      <c r="E21" s="22">
        <v>48</v>
      </c>
      <c r="F21" s="23">
        <f>E21-G21</f>
        <v>1</v>
      </c>
      <c r="G21" s="12">
        <v>47</v>
      </c>
      <c r="H21" s="12">
        <v>4</v>
      </c>
      <c r="I21" s="24">
        <v>0.8</v>
      </c>
      <c r="J21" s="12"/>
      <c r="K21" s="42">
        <f>((((D21*25%+E21*75%+H21*3+J21*5+0.25*(F21))*(1-(1-I21)/2))+A21/20)/B21*30-17.76)/40.13*65.27</f>
        <v>39.15670710022934</v>
      </c>
      <c r="L21" s="92"/>
      <c r="M21" s="92"/>
      <c r="N21" s="92"/>
      <c r="O21" s="92"/>
      <c r="P21" s="93"/>
      <c r="Q21" s="30">
        <f>getcell</f>
        <v>0</v>
      </c>
      <c r="R21" s="30">
        <f>getcell</f>
        <v>0</v>
      </c>
      <c r="S21" s="30">
        <f>getcell</f>
        <v>0</v>
      </c>
      <c r="T21" s="30">
        <f>getcell</f>
        <v>0</v>
      </c>
      <c r="U21" s="30">
        <f>getcell</f>
        <v>0</v>
      </c>
      <c r="V21" s="30">
        <f>getcell</f>
        <v>0</v>
      </c>
      <c r="W21" s="30">
        <f>getcell</f>
        <v>0</v>
      </c>
      <c r="X21" s="30">
        <f>getcell</f>
        <v>0</v>
      </c>
      <c r="Y21" s="30">
        <f>getcell</f>
        <v>0</v>
      </c>
      <c r="Z21" s="30">
        <f>getcell</f>
        <v>0</v>
      </c>
      <c r="AA21" s="30">
        <f>getcell</f>
        <v>0</v>
      </c>
      <c r="AB21" s="10"/>
      <c r="AC21" s="30"/>
      <c r="AD21" s="10"/>
    </row>
    <row r="22" spans="1:30" s="8" customFormat="1" ht="20.100000000000001" customHeight="1" thickBot="1" x14ac:dyDescent="0.2">
      <c r="A22" s="41">
        <v>624</v>
      </c>
      <c r="B22" s="12">
        <v>53</v>
      </c>
      <c r="C22" s="136" t="s">
        <v>47</v>
      </c>
      <c r="D22" s="12">
        <v>40</v>
      </c>
      <c r="E22" s="22">
        <v>43</v>
      </c>
      <c r="F22" s="23">
        <f>E22-G22</f>
        <v>-1</v>
      </c>
      <c r="G22" s="12">
        <v>44</v>
      </c>
      <c r="H22" s="12">
        <v>2</v>
      </c>
      <c r="I22" s="24">
        <v>0.66</v>
      </c>
      <c r="J22" s="12"/>
      <c r="K22" s="42">
        <f>((((D22*25%+E22*75%+H22*3+J22*5+0.25*(F22))*(1-(1-I22)/2))+A22/20)/B22*30-17.76)/40.13*65.27</f>
        <v>36.516264780971269</v>
      </c>
      <c r="L22" s="94"/>
      <c r="M22" s="94"/>
      <c r="N22" s="94"/>
      <c r="O22" s="94"/>
      <c r="P22" s="95"/>
      <c r="Q22" s="30">
        <f>getcell</f>
        <v>0</v>
      </c>
      <c r="R22" s="30">
        <f>getcell</f>
        <v>0</v>
      </c>
      <c r="S22" s="30">
        <f>getcell</f>
        <v>0</v>
      </c>
      <c r="T22" s="30">
        <f>getcell</f>
        <v>0</v>
      </c>
      <c r="U22" s="30">
        <f>getcell</f>
        <v>0</v>
      </c>
      <c r="V22" s="30">
        <f>getcell</f>
        <v>0</v>
      </c>
      <c r="W22" s="30">
        <f>getcell</f>
        <v>0</v>
      </c>
      <c r="X22" s="30">
        <f>getcell</f>
        <v>0</v>
      </c>
      <c r="Y22" s="30">
        <f>getcell</f>
        <v>0</v>
      </c>
      <c r="Z22" s="30">
        <f>getcell</f>
        <v>0</v>
      </c>
      <c r="AA22" s="30">
        <f>getcell</f>
        <v>0</v>
      </c>
      <c r="AB22" s="10"/>
      <c r="AC22" s="30"/>
      <c r="AD22" s="10"/>
    </row>
    <row r="23" spans="1:30" s="8" customFormat="1" ht="20.100000000000001" customHeight="1" thickBot="1" x14ac:dyDescent="0.2">
      <c r="A23" s="41">
        <v>511</v>
      </c>
      <c r="B23" s="12">
        <v>55</v>
      </c>
      <c r="C23" s="69" t="s">
        <v>50</v>
      </c>
      <c r="D23" s="12">
        <v>47</v>
      </c>
      <c r="E23" s="22">
        <v>39</v>
      </c>
      <c r="F23" s="23">
        <f>E23-G23</f>
        <v>1</v>
      </c>
      <c r="G23" s="12">
        <v>38</v>
      </c>
      <c r="H23" s="12">
        <v>2</v>
      </c>
      <c r="I23" s="24">
        <v>0.66</v>
      </c>
      <c r="J23" s="12"/>
      <c r="K23" s="42">
        <f>((((D23*25%+E23*75%+H23*3+J23*5+0.25*(F23))*(1-(1-I23)/2))+A23/20)/B23*30-17.76)/40.13*65.27</f>
        <v>28.573275830822549</v>
      </c>
      <c r="L23" s="88" t="s">
        <v>20</v>
      </c>
      <c r="M23" s="88"/>
      <c r="N23" s="88"/>
      <c r="O23" s="88"/>
      <c r="P23" s="89"/>
      <c r="Q23" s="30">
        <f>getcell</f>
        <v>0</v>
      </c>
      <c r="R23" s="30">
        <f>getcell</f>
        <v>0</v>
      </c>
      <c r="S23" s="30">
        <f>getcell</f>
        <v>0</v>
      </c>
      <c r="T23" s="30">
        <f>getcell</f>
        <v>0</v>
      </c>
      <c r="U23" s="30">
        <f>getcell</f>
        <v>0</v>
      </c>
      <c r="V23" s="30">
        <f>getcell</f>
        <v>0</v>
      </c>
      <c r="W23" s="30">
        <f>getcell</f>
        <v>0</v>
      </c>
      <c r="X23" s="30">
        <f>getcell</f>
        <v>0</v>
      </c>
      <c r="Y23" s="30">
        <f>getcell</f>
        <v>0</v>
      </c>
      <c r="Z23" s="30">
        <f>getcell</f>
        <v>0</v>
      </c>
      <c r="AA23" s="30">
        <f>getcell</f>
        <v>0</v>
      </c>
      <c r="AB23" s="10"/>
      <c r="AC23" s="30"/>
      <c r="AD23" s="10"/>
    </row>
    <row r="24" spans="1:30" s="2" customFormat="1" ht="20.100000000000001" customHeight="1" x14ac:dyDescent="0.15">
      <c r="A24" s="41">
        <v>729</v>
      </c>
      <c r="B24" s="12">
        <v>57</v>
      </c>
      <c r="C24" s="138" t="s">
        <v>97</v>
      </c>
      <c r="D24" s="12">
        <v>2</v>
      </c>
      <c r="E24" s="22">
        <v>3</v>
      </c>
      <c r="F24" s="23">
        <f>E24-E24</f>
        <v>0</v>
      </c>
      <c r="G24" s="12" t="s">
        <v>93</v>
      </c>
      <c r="H24" s="12">
        <v>0</v>
      </c>
      <c r="I24" s="24">
        <v>0</v>
      </c>
      <c r="J24" s="12"/>
      <c r="K24" s="42">
        <f>((((D24*25%+E24*75%+H24*3+J24*5+0.25*(E24-E24))*(1-(1-I24)/2))+A24/20)/B24*30-17.76)/40.13*65.27</f>
        <v>3.4934734481356631</v>
      </c>
      <c r="L24" s="98" t="s">
        <v>103</v>
      </c>
      <c r="M24" s="99"/>
      <c r="N24" s="99"/>
      <c r="O24" s="99"/>
      <c r="P24" s="100"/>
      <c r="Q24" s="30">
        <f>getcell</f>
        <v>0</v>
      </c>
      <c r="R24" s="30">
        <f>getcell</f>
        <v>0</v>
      </c>
      <c r="S24" s="30">
        <f>getcell</f>
        <v>7</v>
      </c>
      <c r="T24" s="30">
        <f>getcell</f>
        <v>0</v>
      </c>
      <c r="U24" s="30">
        <f>getcell</f>
        <v>0</v>
      </c>
      <c r="V24" s="30">
        <f>getcell</f>
        <v>0</v>
      </c>
      <c r="W24" s="30">
        <f>getcell</f>
        <v>0</v>
      </c>
      <c r="X24" s="30">
        <f>getcell</f>
        <v>0</v>
      </c>
      <c r="Y24" s="30">
        <f>getcell</f>
        <v>0</v>
      </c>
      <c r="Z24" s="30">
        <f>getcell</f>
        <v>0</v>
      </c>
      <c r="AA24" s="30">
        <f>getcell</f>
        <v>0</v>
      </c>
      <c r="AB24" s="10"/>
      <c r="AC24" s="30"/>
      <c r="AD24" s="10"/>
    </row>
    <row r="25" spans="1:30" s="2" customFormat="1" ht="20.100000000000001" customHeight="1" thickBot="1" x14ac:dyDescent="0.2">
      <c r="A25" s="41">
        <v>639</v>
      </c>
      <c r="B25" s="12">
        <v>51</v>
      </c>
      <c r="C25" s="138" t="s">
        <v>101</v>
      </c>
      <c r="D25" s="12">
        <v>0</v>
      </c>
      <c r="E25" s="22">
        <v>0</v>
      </c>
      <c r="F25" s="23">
        <f>E25-E25</f>
        <v>0</v>
      </c>
      <c r="G25" s="12" t="s">
        <v>102</v>
      </c>
      <c r="H25" s="12">
        <v>0</v>
      </c>
      <c r="I25" s="24">
        <v>0</v>
      </c>
      <c r="J25" s="12"/>
      <c r="K25" s="42">
        <f>((((D25*25%+E25*75%+H25*3+J25*5+0.25*(F25))*(1-(1-I25)/2))+A25/20)/B25*30-17.76)/40.13*65.27</f>
        <v>1.6819551164597366</v>
      </c>
      <c r="L25" s="101" t="s">
        <v>104</v>
      </c>
      <c r="M25" s="102"/>
      <c r="N25" s="102"/>
      <c r="O25" s="102"/>
      <c r="P25" s="103"/>
      <c r="Q25" s="30">
        <f>getcell</f>
        <v>0</v>
      </c>
      <c r="R25" s="30">
        <f>getcell</f>
        <v>0</v>
      </c>
      <c r="S25" s="30">
        <f>getcell</f>
        <v>7</v>
      </c>
      <c r="T25" s="30">
        <f>getcell</f>
        <v>0</v>
      </c>
      <c r="U25" s="30">
        <f>getcell</f>
        <v>0</v>
      </c>
      <c r="V25" s="30">
        <f>getcell</f>
        <v>0</v>
      </c>
      <c r="W25" s="30">
        <f>getcell</f>
        <v>0</v>
      </c>
      <c r="X25" s="30">
        <f>getcell</f>
        <v>0</v>
      </c>
      <c r="Y25" s="30">
        <f>getcell</f>
        <v>0</v>
      </c>
      <c r="Z25" s="30">
        <f>getcell</f>
        <v>0</v>
      </c>
      <c r="AA25" s="30">
        <f>getcell</f>
        <v>0</v>
      </c>
      <c r="AB25" s="10"/>
      <c r="AC25" s="30"/>
      <c r="AD25" s="10"/>
    </row>
    <row r="26" spans="1:30" s="2" customFormat="1" ht="20.100000000000001" customHeight="1" thickBot="1" x14ac:dyDescent="0.2">
      <c r="A26" s="41">
        <v>662</v>
      </c>
      <c r="B26" s="12">
        <v>61</v>
      </c>
      <c r="C26" s="138">
        <v>545</v>
      </c>
      <c r="D26" s="12">
        <v>0</v>
      </c>
      <c r="E26" s="22">
        <v>0</v>
      </c>
      <c r="F26" s="23">
        <f>E26-E26</f>
        <v>0</v>
      </c>
      <c r="G26" s="12" t="s">
        <v>100</v>
      </c>
      <c r="H26" s="12">
        <v>0</v>
      </c>
      <c r="I26" s="24">
        <v>0</v>
      </c>
      <c r="J26" s="12"/>
      <c r="K26" s="42">
        <f>((((D26*25%+E26*75%+H26*3+J26*5+0.25*(F26))*(1-(1-I26)/2))+A26/20)/B26*30-17.76)/40.13*65.27</f>
        <v>-2.4092997757288805</v>
      </c>
      <c r="L26" s="86" t="s">
        <v>21</v>
      </c>
      <c r="M26" s="86"/>
      <c r="N26" s="86"/>
      <c r="O26" s="86"/>
      <c r="P26" s="87"/>
      <c r="Q26" s="30">
        <f>getcell</f>
        <v>0</v>
      </c>
      <c r="R26" s="30">
        <f>getcell</f>
        <v>0</v>
      </c>
      <c r="S26" s="30">
        <f>getcell</f>
        <v>7</v>
      </c>
      <c r="T26" s="30">
        <f>getcell</f>
        <v>0</v>
      </c>
      <c r="U26" s="30">
        <f>getcell</f>
        <v>0</v>
      </c>
      <c r="V26" s="30">
        <f>getcell</f>
        <v>0</v>
      </c>
      <c r="W26" s="30">
        <f>getcell</f>
        <v>0</v>
      </c>
      <c r="X26" s="30">
        <f>getcell</f>
        <v>0</v>
      </c>
      <c r="Y26" s="30">
        <f>getcell</f>
        <v>0</v>
      </c>
      <c r="Z26" s="30">
        <f>getcell</f>
        <v>0</v>
      </c>
      <c r="AA26" s="30">
        <f>getcell</f>
        <v>0</v>
      </c>
      <c r="AB26" s="10"/>
      <c r="AC26" s="30"/>
      <c r="AD26" s="10"/>
    </row>
    <row r="27" spans="1:30" s="2" customFormat="1" ht="20.100000000000001" customHeight="1" x14ac:dyDescent="0.15">
      <c r="A27" s="128"/>
      <c r="B27" s="129"/>
      <c r="C27" s="130" t="s">
        <v>87</v>
      </c>
      <c r="D27" s="131"/>
      <c r="E27" s="132"/>
      <c r="F27" s="133"/>
      <c r="G27" s="131"/>
      <c r="H27" s="131"/>
      <c r="I27" s="134"/>
      <c r="J27" s="129"/>
      <c r="K27" s="135"/>
      <c r="L27" s="115" t="s">
        <v>106</v>
      </c>
      <c r="M27" s="116"/>
      <c r="N27" s="116"/>
      <c r="O27" s="116"/>
      <c r="P27" s="117"/>
      <c r="Q27" s="30">
        <f>getcell</f>
        <v>44</v>
      </c>
      <c r="R27" s="30">
        <f>getcell</f>
        <v>44</v>
      </c>
      <c r="S27" s="30">
        <f>getcell</f>
        <v>44</v>
      </c>
      <c r="T27" s="30">
        <f>getcell</f>
        <v>44</v>
      </c>
      <c r="U27" s="30">
        <f>getcell</f>
        <v>44</v>
      </c>
      <c r="V27" s="30">
        <f>getcell</f>
        <v>44</v>
      </c>
      <c r="W27" s="30">
        <f>getcell</f>
        <v>44</v>
      </c>
      <c r="X27" s="30">
        <f>getcell</f>
        <v>44</v>
      </c>
      <c r="Y27" s="30">
        <f>getcell</f>
        <v>44</v>
      </c>
      <c r="Z27" s="30">
        <f>getcell</f>
        <v>44</v>
      </c>
      <c r="AA27" s="30">
        <f>getcell</f>
        <v>44</v>
      </c>
      <c r="AB27" s="10"/>
      <c r="AC27" s="30"/>
      <c r="AD27" s="10"/>
    </row>
    <row r="28" spans="1:30" s="2" customFormat="1" ht="20.100000000000001" customHeight="1" thickBot="1" x14ac:dyDescent="0.2">
      <c r="A28" s="141"/>
      <c r="B28" s="142"/>
      <c r="C28" s="143" t="s">
        <v>90</v>
      </c>
      <c r="D28" s="142"/>
      <c r="E28" s="163"/>
      <c r="F28" s="164"/>
      <c r="G28" s="142"/>
      <c r="H28" s="142"/>
      <c r="I28" s="144"/>
      <c r="J28" s="142"/>
      <c r="K28" s="145"/>
      <c r="L28" s="118" t="s">
        <v>107</v>
      </c>
      <c r="M28" s="119"/>
      <c r="N28" s="119"/>
      <c r="O28" s="119"/>
      <c r="P28" s="120"/>
      <c r="Q28" s="30">
        <f>getcell</f>
        <v>44</v>
      </c>
      <c r="R28" s="30">
        <f>getcell</f>
        <v>44</v>
      </c>
      <c r="S28" s="30">
        <f>getcell</f>
        <v>44</v>
      </c>
      <c r="T28" s="30">
        <f>getcell</f>
        <v>44</v>
      </c>
      <c r="U28" s="30">
        <f>getcell</f>
        <v>44</v>
      </c>
      <c r="V28" s="30">
        <f>getcell</f>
        <v>44</v>
      </c>
      <c r="W28" s="30">
        <f>getcell</f>
        <v>44</v>
      </c>
      <c r="X28" s="30">
        <f>getcell</f>
        <v>44</v>
      </c>
      <c r="Y28" s="30">
        <f>getcell</f>
        <v>44</v>
      </c>
      <c r="Z28" s="30">
        <f>getcell</f>
        <v>44</v>
      </c>
      <c r="AA28" s="30">
        <f>getcell</f>
        <v>44</v>
      </c>
      <c r="AB28" s="10"/>
      <c r="AC28" s="30"/>
      <c r="AD28" s="10"/>
    </row>
    <row r="29" spans="1:30" s="2" customFormat="1" ht="20.100000000000001" customHeight="1" thickBot="1" x14ac:dyDescent="0.2">
      <c r="A29" s="122">
        <f>A$56</f>
        <v>635.48</v>
      </c>
      <c r="B29" s="123">
        <f>B$56</f>
        <v>53.48</v>
      </c>
      <c r="C29" s="124" t="s">
        <v>49</v>
      </c>
      <c r="D29" s="125">
        <v>0</v>
      </c>
      <c r="E29" s="151">
        <v>0</v>
      </c>
      <c r="F29" s="152"/>
      <c r="G29" s="125">
        <v>0</v>
      </c>
      <c r="H29" s="125">
        <v>0</v>
      </c>
      <c r="I29" s="126">
        <v>1</v>
      </c>
      <c r="J29" s="125">
        <v>0</v>
      </c>
      <c r="K29" s="127">
        <f t="shared" ref="K29" si="0">((((D29*25%+E29*75%+H29*3+J29*5+0.25*(E29-G29))*(1-(1-I29)/2))+A29/20)/B29*30-17.76)/40.13*65.27</f>
        <v>0.10386499299863419</v>
      </c>
      <c r="L29" s="113" t="s">
        <v>22</v>
      </c>
      <c r="M29" s="113"/>
      <c r="N29" s="113"/>
      <c r="O29" s="113"/>
      <c r="P29" s="114"/>
      <c r="Q29" s="10"/>
      <c r="AC29" s="30"/>
      <c r="AD29" s="10"/>
    </row>
    <row r="30" spans="1:30" s="2" customFormat="1" ht="20.100000000000001" customHeight="1" x14ac:dyDescent="0.15">
      <c r="A30" s="155">
        <v>466</v>
      </c>
      <c r="B30" s="156">
        <v>47</v>
      </c>
      <c r="C30" s="157" t="s">
        <v>95</v>
      </c>
      <c r="D30" s="156">
        <v>71</v>
      </c>
      <c r="E30" s="158">
        <v>41</v>
      </c>
      <c r="F30" s="158"/>
      <c r="G30" s="156" t="s">
        <v>96</v>
      </c>
      <c r="H30" s="156">
        <v>2</v>
      </c>
      <c r="I30" s="159">
        <v>1</v>
      </c>
      <c r="J30" s="156"/>
      <c r="K30" s="160">
        <v>53</v>
      </c>
      <c r="L30" s="50" t="s">
        <v>10</v>
      </c>
      <c r="M30" s="43" t="s">
        <v>11</v>
      </c>
      <c r="N30" s="44" t="s">
        <v>12</v>
      </c>
      <c r="O30" s="45" t="s">
        <v>62</v>
      </c>
      <c r="P30" s="46" t="s">
        <v>63</v>
      </c>
      <c r="Q30" s="10"/>
      <c r="AC30" s="52" t="s">
        <v>77</v>
      </c>
    </row>
    <row r="31" spans="1:30" s="2" customFormat="1" ht="20.100000000000001" customHeight="1" thickBot="1" x14ac:dyDescent="0.2">
      <c r="A31" s="20">
        <v>646</v>
      </c>
      <c r="B31" s="80">
        <v>51</v>
      </c>
      <c r="C31" s="55" t="s">
        <v>91</v>
      </c>
      <c r="D31" s="80">
        <v>68</v>
      </c>
      <c r="E31" s="82">
        <v>34</v>
      </c>
      <c r="F31" s="82"/>
      <c r="G31" s="80" t="s">
        <v>92</v>
      </c>
      <c r="H31" s="80">
        <v>5</v>
      </c>
      <c r="I31" s="19">
        <v>1</v>
      </c>
      <c r="J31" s="80">
        <v>0.5</v>
      </c>
      <c r="K31" s="25">
        <v>68</v>
      </c>
      <c r="L31" s="51" t="s">
        <v>13</v>
      </c>
      <c r="M31" s="11" t="s">
        <v>14</v>
      </c>
      <c r="N31" s="47" t="s">
        <v>17</v>
      </c>
      <c r="O31" s="49" t="s">
        <v>69</v>
      </c>
      <c r="P31" s="48" t="s">
        <v>16</v>
      </c>
    </row>
    <row r="32" spans="1:30" s="2" customFormat="1" ht="20.100000000000001" customHeight="1" x14ac:dyDescent="0.15">
      <c r="A32" s="20">
        <v>593</v>
      </c>
      <c r="B32" s="80">
        <v>50</v>
      </c>
      <c r="C32" s="14" t="s">
        <v>88</v>
      </c>
      <c r="D32" s="80">
        <v>49</v>
      </c>
      <c r="E32" s="82">
        <v>38</v>
      </c>
      <c r="F32" s="82"/>
      <c r="G32" s="80" t="s">
        <v>89</v>
      </c>
      <c r="H32" s="80">
        <v>6</v>
      </c>
      <c r="I32" s="19">
        <v>1</v>
      </c>
      <c r="J32" s="80">
        <v>2.5</v>
      </c>
      <c r="K32" s="25">
        <v>70</v>
      </c>
      <c r="L32" s="6"/>
      <c r="M32" s="6"/>
      <c r="N32" s="6"/>
      <c r="O32" s="6"/>
      <c r="P32" s="6"/>
    </row>
    <row r="33" spans="1:16" s="2" customFormat="1" ht="20.100000000000001" customHeight="1" x14ac:dyDescent="0.15">
      <c r="A33" s="20">
        <v>669</v>
      </c>
      <c r="B33" s="80">
        <v>59</v>
      </c>
      <c r="C33" s="14" t="s">
        <v>81</v>
      </c>
      <c r="D33" s="80">
        <v>75</v>
      </c>
      <c r="E33" s="82">
        <v>76</v>
      </c>
      <c r="F33" s="82"/>
      <c r="G33" s="80" t="s">
        <v>86</v>
      </c>
      <c r="H33" s="80">
        <v>4</v>
      </c>
      <c r="I33" s="19">
        <v>1</v>
      </c>
      <c r="J33" s="80"/>
      <c r="K33" s="25">
        <v>71</v>
      </c>
    </row>
    <row r="34" spans="1:16" s="2" customFormat="1" ht="20.100000000000001" customHeight="1" x14ac:dyDescent="0.15">
      <c r="A34" s="20">
        <v>802</v>
      </c>
      <c r="B34" s="80">
        <v>63</v>
      </c>
      <c r="C34" s="14" t="s">
        <v>98</v>
      </c>
      <c r="D34" s="80">
        <v>46</v>
      </c>
      <c r="E34" s="82">
        <v>46</v>
      </c>
      <c r="F34" s="82"/>
      <c r="G34" s="80" t="s">
        <v>99</v>
      </c>
      <c r="H34" s="80">
        <v>3</v>
      </c>
      <c r="I34" s="19">
        <v>1</v>
      </c>
      <c r="J34" s="80">
        <v>2.5</v>
      </c>
      <c r="K34" s="25">
        <v>54</v>
      </c>
    </row>
    <row r="35" spans="1:16" s="10" customFormat="1" ht="20.100000000000001" customHeight="1" x14ac:dyDescent="0.15">
      <c r="A35" s="20">
        <v>762</v>
      </c>
      <c r="B35" s="80">
        <v>58</v>
      </c>
      <c r="C35" s="14" t="s">
        <v>75</v>
      </c>
      <c r="D35" s="80">
        <v>39</v>
      </c>
      <c r="E35" s="82">
        <v>41</v>
      </c>
      <c r="F35" s="82"/>
      <c r="G35" s="80" t="s">
        <v>84</v>
      </c>
      <c r="H35" s="80">
        <v>2</v>
      </c>
      <c r="I35" s="19">
        <v>1</v>
      </c>
      <c r="J35" s="80"/>
      <c r="K35" s="25">
        <v>45</v>
      </c>
      <c r="L35" s="2"/>
      <c r="M35" s="2"/>
      <c r="N35" s="2"/>
      <c r="O35" s="2"/>
      <c r="P35" s="2"/>
    </row>
    <row r="36" spans="1:16" s="2" customFormat="1" ht="20.100000000000001" customHeight="1" x14ac:dyDescent="0.15">
      <c r="A36" s="20">
        <v>930</v>
      </c>
      <c r="B36" s="80">
        <v>57</v>
      </c>
      <c r="C36" s="55" t="s">
        <v>105</v>
      </c>
      <c r="D36" s="80">
        <v>25</v>
      </c>
      <c r="E36" s="82">
        <v>26</v>
      </c>
      <c r="F36" s="82"/>
      <c r="G36" s="80" t="s">
        <v>85</v>
      </c>
      <c r="H36" s="80">
        <v>0</v>
      </c>
      <c r="I36" s="19">
        <v>1</v>
      </c>
      <c r="J36" s="80">
        <v>1</v>
      </c>
      <c r="K36" s="25">
        <v>40</v>
      </c>
      <c r="L36" s="1"/>
      <c r="M36" s="1"/>
      <c r="N36" s="1"/>
      <c r="O36" s="1"/>
      <c r="P36" s="1"/>
    </row>
    <row r="37" spans="1:16" s="5" customFormat="1" ht="20.100000000000001" customHeight="1" x14ac:dyDescent="0.15">
      <c r="A37" s="20">
        <v>714</v>
      </c>
      <c r="B37" s="80">
        <v>53</v>
      </c>
      <c r="C37" s="14" t="s">
        <v>0</v>
      </c>
      <c r="D37" s="80">
        <v>119</v>
      </c>
      <c r="E37" s="82">
        <v>75</v>
      </c>
      <c r="F37" s="82"/>
      <c r="G37" s="80" t="s">
        <v>79</v>
      </c>
      <c r="H37" s="80">
        <v>6</v>
      </c>
      <c r="I37" s="19">
        <v>1</v>
      </c>
      <c r="J37" s="80">
        <v>-0.5</v>
      </c>
      <c r="K37" s="25">
        <v>103</v>
      </c>
      <c r="L37" s="2"/>
      <c r="M37" s="2"/>
      <c r="N37" s="2"/>
      <c r="O37" s="2"/>
      <c r="P37" s="2"/>
    </row>
    <row r="38" spans="1:16" s="6" customFormat="1" ht="20.100000000000001" customHeight="1" x14ac:dyDescent="0.15">
      <c r="A38" s="20">
        <v>625</v>
      </c>
      <c r="B38" s="80">
        <v>58</v>
      </c>
      <c r="C38" s="55" t="s">
        <v>71</v>
      </c>
      <c r="D38" s="80">
        <v>36</v>
      </c>
      <c r="E38" s="82">
        <v>37</v>
      </c>
      <c r="F38" s="82"/>
      <c r="G38" s="80" t="s">
        <v>73</v>
      </c>
      <c r="H38" s="80">
        <v>4</v>
      </c>
      <c r="I38" s="19">
        <v>1</v>
      </c>
      <c r="J38" s="80">
        <v>0</v>
      </c>
      <c r="K38" s="25">
        <f>((((D38*25%+E38*75%+H38*3+J38*5+0.25*(E38-E38))*I38)+A38/20)/B38*30-17.54)/39.8*67.01</f>
        <v>40.137492115751179</v>
      </c>
      <c r="L38" s="2"/>
      <c r="M38" s="2"/>
      <c r="N38" s="2"/>
      <c r="O38" s="2"/>
      <c r="P38" s="2"/>
    </row>
    <row r="39" spans="1:16" ht="20.100000000000001" customHeight="1" x14ac:dyDescent="0.15">
      <c r="A39" s="20">
        <v>670</v>
      </c>
      <c r="B39" s="80">
        <v>55</v>
      </c>
      <c r="C39" s="14" t="s">
        <v>54</v>
      </c>
      <c r="D39" s="80">
        <v>31</v>
      </c>
      <c r="E39" s="82">
        <v>32</v>
      </c>
      <c r="F39" s="82"/>
      <c r="G39" s="80" t="s">
        <v>68</v>
      </c>
      <c r="H39" s="80">
        <v>7</v>
      </c>
      <c r="I39" s="19">
        <v>1</v>
      </c>
      <c r="J39" s="80">
        <v>0</v>
      </c>
      <c r="K39" s="25">
        <v>48</v>
      </c>
      <c r="L39" s="2"/>
      <c r="M39" s="2"/>
      <c r="N39" s="2"/>
      <c r="O39" s="2"/>
      <c r="P39" s="2"/>
    </row>
    <row r="40" spans="1:16" ht="20.100000000000001" customHeight="1" x14ac:dyDescent="0.15">
      <c r="A40" s="20">
        <v>582</v>
      </c>
      <c r="B40" s="80">
        <v>56</v>
      </c>
      <c r="C40" s="14" t="s">
        <v>31</v>
      </c>
      <c r="D40" s="80">
        <v>36</v>
      </c>
      <c r="E40" s="121">
        <v>37</v>
      </c>
      <c r="F40" s="121"/>
      <c r="G40" s="80" t="s">
        <v>56</v>
      </c>
      <c r="H40" s="80">
        <v>3</v>
      </c>
      <c r="I40" s="19">
        <v>0.85</v>
      </c>
      <c r="J40" s="80">
        <v>0</v>
      </c>
      <c r="K40" s="25">
        <v>33</v>
      </c>
      <c r="L40" s="2"/>
      <c r="M40" s="2"/>
      <c r="N40" s="2"/>
      <c r="O40" s="2"/>
      <c r="P40" s="2"/>
    </row>
    <row r="41" spans="1:16" ht="20.25" customHeight="1" x14ac:dyDescent="0.15">
      <c r="A41" s="20">
        <v>464</v>
      </c>
      <c r="B41" s="80">
        <v>50</v>
      </c>
      <c r="C41" s="14" t="s">
        <v>7</v>
      </c>
      <c r="D41" s="80">
        <v>36</v>
      </c>
      <c r="E41" s="82">
        <v>37</v>
      </c>
      <c r="F41" s="82"/>
      <c r="G41" s="80" t="s">
        <v>55</v>
      </c>
      <c r="H41" s="80">
        <v>0</v>
      </c>
      <c r="I41" s="19">
        <v>1</v>
      </c>
      <c r="J41" s="80">
        <v>0</v>
      </c>
      <c r="K41" s="25">
        <v>30</v>
      </c>
      <c r="L41" s="1"/>
      <c r="M41" s="1"/>
      <c r="N41" s="1"/>
      <c r="O41" s="1"/>
      <c r="P41" s="1"/>
    </row>
    <row r="42" spans="1:16" s="1" customFormat="1" ht="20.100000000000001" customHeight="1" x14ac:dyDescent="0.15">
      <c r="A42" s="20">
        <v>569</v>
      </c>
      <c r="B42" s="80">
        <v>57</v>
      </c>
      <c r="C42" s="14" t="s">
        <v>48</v>
      </c>
      <c r="D42" s="80">
        <v>34</v>
      </c>
      <c r="E42" s="82">
        <v>27</v>
      </c>
      <c r="F42" s="82"/>
      <c r="G42" s="80" t="s">
        <v>53</v>
      </c>
      <c r="H42" s="80">
        <v>3</v>
      </c>
      <c r="I42" s="19">
        <v>1</v>
      </c>
      <c r="J42" s="80">
        <v>0</v>
      </c>
      <c r="K42" s="25">
        <v>31</v>
      </c>
      <c r="L42"/>
      <c r="M42"/>
      <c r="N42"/>
      <c r="O42"/>
      <c r="P42"/>
    </row>
    <row r="43" spans="1:16" ht="20.100000000000001" customHeight="1" x14ac:dyDescent="0.15">
      <c r="A43" s="20">
        <v>714</v>
      </c>
      <c r="B43" s="80" t="s">
        <v>23</v>
      </c>
      <c r="C43" s="14" t="s">
        <v>44</v>
      </c>
      <c r="D43" s="80" t="s">
        <v>23</v>
      </c>
      <c r="E43" s="82" t="s">
        <v>74</v>
      </c>
      <c r="F43" s="82"/>
      <c r="G43" s="80" t="s">
        <v>45</v>
      </c>
      <c r="H43" s="80">
        <v>0</v>
      </c>
      <c r="I43" s="19">
        <v>1</v>
      </c>
      <c r="J43" s="80">
        <v>0</v>
      </c>
      <c r="K43" s="21">
        <v>10</v>
      </c>
      <c r="L43" s="2"/>
      <c r="M43" s="2"/>
      <c r="N43" s="2"/>
      <c r="O43" s="2"/>
      <c r="P43" s="2"/>
    </row>
    <row r="44" spans="1:16" s="2" customFormat="1" ht="20.100000000000001" customHeight="1" x14ac:dyDescent="0.15">
      <c r="A44" s="20">
        <v>535</v>
      </c>
      <c r="B44" s="80" t="s">
        <v>23</v>
      </c>
      <c r="C44" s="14" t="s">
        <v>2</v>
      </c>
      <c r="D44" s="80">
        <v>28</v>
      </c>
      <c r="E44" s="82">
        <v>36</v>
      </c>
      <c r="F44" s="82"/>
      <c r="G44" s="80" t="s">
        <v>52</v>
      </c>
      <c r="H44" s="80">
        <v>2</v>
      </c>
      <c r="I44" s="19">
        <v>1</v>
      </c>
      <c r="J44" s="80">
        <v>0</v>
      </c>
      <c r="K44" s="21">
        <v>40.5</v>
      </c>
      <c r="L44"/>
      <c r="M44"/>
      <c r="N44"/>
      <c r="O44"/>
      <c r="P44"/>
    </row>
    <row r="45" spans="1:16" ht="20.100000000000001" customHeight="1" x14ac:dyDescent="0.15">
      <c r="A45" s="20">
        <v>764</v>
      </c>
      <c r="B45" s="80" t="s">
        <v>23</v>
      </c>
      <c r="C45" s="14" t="s">
        <v>25</v>
      </c>
      <c r="D45" s="80">
        <v>88</v>
      </c>
      <c r="E45" s="82" t="s">
        <v>74</v>
      </c>
      <c r="F45" s="82"/>
      <c r="G45" s="80" t="s">
        <v>43</v>
      </c>
      <c r="H45" s="80">
        <v>1</v>
      </c>
      <c r="I45" s="19">
        <v>1</v>
      </c>
      <c r="J45" s="80">
        <v>0</v>
      </c>
      <c r="K45" s="21">
        <v>3</v>
      </c>
    </row>
    <row r="46" spans="1:16" ht="20.100000000000001" customHeight="1" x14ac:dyDescent="0.15">
      <c r="A46" s="20">
        <v>562</v>
      </c>
      <c r="B46" s="80" t="s">
        <v>23</v>
      </c>
      <c r="C46" s="14" t="s">
        <v>30</v>
      </c>
      <c r="D46" s="80">
        <v>43</v>
      </c>
      <c r="E46" s="82" t="s">
        <v>74</v>
      </c>
      <c r="F46" s="82"/>
      <c r="G46" s="80" t="s">
        <v>39</v>
      </c>
      <c r="H46" s="80">
        <v>6</v>
      </c>
      <c r="I46" s="19">
        <v>1</v>
      </c>
      <c r="J46" s="80">
        <v>0</v>
      </c>
      <c r="K46" s="21">
        <v>18</v>
      </c>
      <c r="L46" s="40"/>
      <c r="M46" s="40"/>
      <c r="N46" s="40"/>
      <c r="O46" s="40"/>
      <c r="P46" s="40"/>
    </row>
    <row r="47" spans="1:16" s="40" customFormat="1" ht="20.100000000000001" hidden="1" customHeight="1" x14ac:dyDescent="0.15">
      <c r="A47" s="20">
        <v>624</v>
      </c>
      <c r="B47" s="80" t="s">
        <v>23</v>
      </c>
      <c r="C47" s="14" t="s">
        <v>34</v>
      </c>
      <c r="D47" s="80">
        <v>11</v>
      </c>
      <c r="E47" s="82">
        <v>12</v>
      </c>
      <c r="F47" s="82"/>
      <c r="G47" s="80" t="s">
        <v>51</v>
      </c>
      <c r="H47" s="80">
        <v>0</v>
      </c>
      <c r="I47" s="19">
        <v>1</v>
      </c>
      <c r="J47" s="80">
        <v>0</v>
      </c>
      <c r="K47" s="21">
        <f>(E47+H47*3+J47*5+0.5*(E47-E47))*I47</f>
        <v>12</v>
      </c>
      <c r="L47"/>
      <c r="M47"/>
      <c r="N47"/>
      <c r="O47"/>
      <c r="P47"/>
    </row>
    <row r="48" spans="1:16" ht="20.100000000000001" hidden="1" customHeight="1" x14ac:dyDescent="0.15">
      <c r="A48" s="20">
        <v>538</v>
      </c>
      <c r="B48" s="80" t="s">
        <v>23</v>
      </c>
      <c r="C48" s="14" t="s">
        <v>6</v>
      </c>
      <c r="D48" s="80">
        <v>52</v>
      </c>
      <c r="E48" s="82">
        <v>29</v>
      </c>
      <c r="F48" s="82"/>
      <c r="G48" s="80" t="s">
        <v>57</v>
      </c>
      <c r="H48" s="80">
        <v>5</v>
      </c>
      <c r="I48" s="19">
        <v>1</v>
      </c>
      <c r="J48" s="80">
        <v>0</v>
      </c>
      <c r="K48" s="21">
        <f>(E48+H48*3+J48*5+0.5*(E48-E48))*I48</f>
        <v>44</v>
      </c>
    </row>
    <row r="49" spans="1:16" ht="20.100000000000001" customHeight="1" thickBot="1" x14ac:dyDescent="0.2">
      <c r="A49" s="26">
        <v>580</v>
      </c>
      <c r="B49" s="81" t="s">
        <v>23</v>
      </c>
      <c r="C49" s="27" t="s">
        <v>24</v>
      </c>
      <c r="D49" s="81" t="s">
        <v>23</v>
      </c>
      <c r="E49" s="112" t="s">
        <v>74</v>
      </c>
      <c r="F49" s="112"/>
      <c r="G49" s="81" t="s">
        <v>58</v>
      </c>
      <c r="H49" s="81">
        <v>0</v>
      </c>
      <c r="I49" s="28">
        <v>1</v>
      </c>
      <c r="J49" s="81">
        <v>0</v>
      </c>
      <c r="K49" s="29">
        <v>20</v>
      </c>
    </row>
    <row r="50" spans="1:16" ht="20.100000000000001" hidden="1" customHeight="1" x14ac:dyDescent="0.15">
      <c r="A50" s="76">
        <v>430</v>
      </c>
      <c r="B50" s="77" t="s">
        <v>23</v>
      </c>
      <c r="C50" s="78" t="s">
        <v>5</v>
      </c>
      <c r="D50" s="77">
        <v>31</v>
      </c>
      <c r="E50" s="153">
        <v>24</v>
      </c>
      <c r="F50" s="153"/>
      <c r="G50" s="77" t="s">
        <v>59</v>
      </c>
      <c r="H50" s="77">
        <v>1</v>
      </c>
      <c r="I50" s="79">
        <v>1</v>
      </c>
      <c r="J50" s="77">
        <v>0</v>
      </c>
      <c r="K50" s="154">
        <f>(E50+H50*3+J50*5)*I50</f>
        <v>27</v>
      </c>
    </row>
    <row r="51" spans="1:16" ht="20.100000000000001" hidden="1" customHeight="1" x14ac:dyDescent="0.2">
      <c r="A51" s="26">
        <v>466</v>
      </c>
      <c r="B51" s="54" t="s">
        <v>23</v>
      </c>
      <c r="C51" s="27" t="s">
        <v>8</v>
      </c>
      <c r="D51" s="54">
        <v>15</v>
      </c>
      <c r="E51" s="112">
        <v>15</v>
      </c>
      <c r="F51" s="112"/>
      <c r="G51" s="54" t="s">
        <v>60</v>
      </c>
      <c r="H51" s="54">
        <v>1</v>
      </c>
      <c r="I51" s="28">
        <v>0.8</v>
      </c>
      <c r="J51" s="54">
        <v>0</v>
      </c>
      <c r="K51" s="29">
        <f>(E51+H51*3+J51*5)*I51</f>
        <v>14.4</v>
      </c>
    </row>
    <row r="52" spans="1:16" ht="20.100000000000001" customHeight="1" x14ac:dyDescent="0.15"/>
    <row r="53" spans="1:16" ht="20.100000000000001" customHeight="1" x14ac:dyDescent="0.15">
      <c r="K53" s="2"/>
    </row>
    <row r="54" spans="1:16" ht="20.100000000000001" customHeight="1" x14ac:dyDescent="0.15">
      <c r="P54" s="2"/>
    </row>
    <row r="55" spans="1:16" s="2" customFormat="1" ht="20.100000000000001" customHeight="1" x14ac:dyDescent="0.15">
      <c r="A55" s="4"/>
      <c r="B55" s="4"/>
      <c r="E55" s="13"/>
      <c r="K55"/>
      <c r="L55"/>
      <c r="M55"/>
      <c r="N55"/>
      <c r="O55"/>
    </row>
    <row r="56" spans="1:16" s="2" customFormat="1" ht="20.100000000000001" hidden="1" customHeight="1" x14ac:dyDescent="0.15">
      <c r="A56" s="38">
        <f>ROUND(AVERAGEIF(Q3:Q28,"&lt;&gt;44",A3:A28),2)</f>
        <v>635.48</v>
      </c>
      <c r="B56" s="38">
        <f>ROUND(AVERAGEIF(R3:R28,"&lt;&gt;44",B3:B28),2)</f>
        <v>53.48</v>
      </c>
      <c r="C56" s="38"/>
      <c r="D56" s="38">
        <f>ROUND(AVERAGEIF(T3:T28,"&lt;&gt;44",D3:D28),2)</f>
        <v>53.22</v>
      </c>
      <c r="E56" s="38">
        <f>ROUND(AVERAGEIF(U3:U28,"&lt;&gt;44",E3:E28),2)</f>
        <v>49.43</v>
      </c>
      <c r="F56" s="38"/>
      <c r="G56" s="38">
        <f>ROUND(AVERAGEIF(W3:W28,"&lt;&gt;44",G3:G28),2)</f>
        <v>56</v>
      </c>
      <c r="H56" s="38">
        <f>ROUND(AVERAGEIF(X3:X28,"&lt;&gt;44",H3:H28),2)</f>
        <v>3.74</v>
      </c>
      <c r="I56" s="39">
        <f>ROUND(AVERAGEIF(Y3:Y28,"&lt;&gt;44",I3:I28),2)</f>
        <v>0.78</v>
      </c>
      <c r="J56" s="38"/>
      <c r="K56" s="38">
        <f>ROUND(AVERAGEIF(AA3:AA28,"&lt;&gt;44",K3:K28),2)</f>
        <v>53.99</v>
      </c>
      <c r="L56"/>
      <c r="M56"/>
      <c r="N56"/>
      <c r="O56"/>
    </row>
    <row r="57" spans="1:16" s="2" customFormat="1" ht="20.100000000000001" customHeight="1" x14ac:dyDescent="0.15">
      <c r="A57" s="4"/>
      <c r="B57" s="4"/>
      <c r="E57" s="13"/>
      <c r="F57" s="3"/>
      <c r="K57"/>
    </row>
    <row r="58" spans="1:16" s="2" customFormat="1" ht="20.100000000000001" customHeight="1" x14ac:dyDescent="0.15">
      <c r="A58" s="4"/>
      <c r="B58" s="4"/>
      <c r="E58" s="13"/>
      <c r="F58" s="3"/>
      <c r="K58"/>
      <c r="P58"/>
    </row>
    <row r="59" spans="1:16" s="2" customFormat="1" ht="20.100000000000001" customHeight="1" x14ac:dyDescent="0.15">
      <c r="A59" s="4"/>
      <c r="B59" s="4"/>
      <c r="E59" s="13"/>
      <c r="F59" s="3"/>
      <c r="K59"/>
      <c r="L59"/>
      <c r="M59"/>
      <c r="N59"/>
      <c r="O59"/>
      <c r="P59"/>
    </row>
    <row r="60" spans="1:16" ht="20.100000000000001" customHeight="1" x14ac:dyDescent="0.15">
      <c r="K60" s="37"/>
    </row>
    <row r="61" spans="1:16" ht="20.100000000000001" customHeight="1" x14ac:dyDescent="0.15">
      <c r="P61" s="2"/>
    </row>
    <row r="62" spans="1:16" ht="20.100000000000001" customHeight="1" x14ac:dyDescent="0.15">
      <c r="C62" s="4"/>
      <c r="D62" s="4"/>
      <c r="E62" s="4"/>
      <c r="F62" s="4"/>
      <c r="G62" s="4"/>
      <c r="H62" s="4"/>
      <c r="I62" s="4"/>
      <c r="J62" s="4"/>
      <c r="K62" s="4"/>
      <c r="P62" s="2"/>
    </row>
    <row r="63" spans="1:16" s="2" customFormat="1" ht="20.100000000000001" customHeight="1" x14ac:dyDescent="0.15">
      <c r="A63" s="4"/>
      <c r="B63" s="4"/>
      <c r="E63" s="13"/>
      <c r="F63" s="3"/>
      <c r="L63"/>
      <c r="M63"/>
      <c r="N63"/>
      <c r="O63"/>
      <c r="P63"/>
    </row>
    <row r="64" spans="1:16" s="2" customFormat="1" ht="20.100000000000001" customHeight="1" x14ac:dyDescent="0.15">
      <c r="A64" s="4"/>
      <c r="B64" s="4"/>
      <c r="E64" s="13"/>
      <c r="F64" s="3"/>
      <c r="L64"/>
      <c r="M64"/>
      <c r="N64"/>
      <c r="O64"/>
      <c r="P64"/>
    </row>
    <row r="65" spans="2:11" ht="20.100000000000001" customHeight="1" x14ac:dyDescent="0.15">
      <c r="K65" s="2"/>
    </row>
    <row r="66" spans="2:11" ht="20.100000000000001" customHeight="1" x14ac:dyDescent="0.15">
      <c r="K66" s="2"/>
    </row>
    <row r="67" spans="2:11" ht="20.100000000000001" customHeight="1" x14ac:dyDescent="0.15">
      <c r="K67" s="2"/>
    </row>
    <row r="68" spans="2:11" ht="20.100000000000001" customHeight="1" x14ac:dyDescent="0.15">
      <c r="B68" s="2"/>
    </row>
    <row r="69" spans="2:11" x14ac:dyDescent="0.15">
      <c r="B69" s="2"/>
    </row>
    <row r="71" spans="2:11" x14ac:dyDescent="0.15">
      <c r="K71" s="2"/>
    </row>
    <row r="72" spans="2:11" x14ac:dyDescent="0.15">
      <c r="K72" s="2"/>
    </row>
    <row r="110" spans="1:1" x14ac:dyDescent="0.15">
      <c r="A110" s="4">
        <f>ROUND(AVERAGEIF(Q3:Q28,"&lt;&gt;44",A3:A28),2)</f>
        <v>635.48</v>
      </c>
    </row>
  </sheetData>
  <sortState ref="A2:K26">
    <sortCondition descending="1" ref="K2"/>
  </sortState>
  <mergeCells count="35">
    <mergeCell ref="E30:F30"/>
    <mergeCell ref="E34:F34"/>
    <mergeCell ref="AB3:AB16"/>
    <mergeCell ref="A1:N1"/>
    <mergeCell ref="E49:F49"/>
    <mergeCell ref="E50:F50"/>
    <mergeCell ref="E51:F51"/>
    <mergeCell ref="L29:P29"/>
    <mergeCell ref="L27:P27"/>
    <mergeCell ref="L28:P28"/>
    <mergeCell ref="E44:F44"/>
    <mergeCell ref="E45:F45"/>
    <mergeCell ref="E46:F46"/>
    <mergeCell ref="E47:F47"/>
    <mergeCell ref="E48:F48"/>
    <mergeCell ref="E40:F40"/>
    <mergeCell ref="E38:F38"/>
    <mergeCell ref="E41:F41"/>
    <mergeCell ref="E42:F42"/>
    <mergeCell ref="E43:F43"/>
    <mergeCell ref="L2:P2"/>
    <mergeCell ref="L26:P26"/>
    <mergeCell ref="L23:P23"/>
    <mergeCell ref="L18:P22"/>
    <mergeCell ref="L17:P17"/>
    <mergeCell ref="L24:P24"/>
    <mergeCell ref="E39:F39"/>
    <mergeCell ref="L25:P25"/>
    <mergeCell ref="L3:P16"/>
    <mergeCell ref="E37:F37"/>
    <mergeCell ref="E35:F35"/>
    <mergeCell ref="E36:F36"/>
    <mergeCell ref="E33:F33"/>
    <mergeCell ref="E32:F32"/>
    <mergeCell ref="E31:F31"/>
  </mergeCells>
  <phoneticPr fontId="1" type="noConversion"/>
  <conditionalFormatting sqref="E3:E28">
    <cfRule type="colorScale" priority="174">
      <colorScale>
        <cfvo type="min"/>
        <cfvo type="percentile" val="50"/>
        <cfvo type="max"/>
        <color rgb="FFFBA7A9"/>
        <color theme="0"/>
        <color rgb="FFBBE3C5"/>
      </colorScale>
    </cfRule>
  </conditionalFormatting>
  <conditionalFormatting sqref="H3:H28">
    <cfRule type="colorScale" priority="173">
      <colorScale>
        <cfvo type="min"/>
        <cfvo type="percentile" val="50"/>
        <cfvo type="max"/>
        <color rgb="FFFBA7A9"/>
        <color theme="0"/>
        <color rgb="FFBBE3C5"/>
      </colorScale>
    </cfRule>
  </conditionalFormatting>
  <conditionalFormatting sqref="I3:I28">
    <cfRule type="colorScale" priority="172">
      <colorScale>
        <cfvo type="min"/>
        <cfvo type="percentile" val="50"/>
        <cfvo type="max"/>
        <color rgb="FFFBA7A9"/>
        <color theme="0"/>
        <color rgb="FFBBE3C5"/>
      </colorScale>
    </cfRule>
  </conditionalFormatting>
  <conditionalFormatting sqref="J3:J28">
    <cfRule type="colorScale" priority="171">
      <colorScale>
        <cfvo type="min"/>
        <cfvo type="percentile" val="50"/>
        <cfvo type="max"/>
        <color rgb="FFFBA7A9"/>
        <color theme="0"/>
        <color rgb="FFBBE3C5"/>
      </colorScale>
    </cfRule>
  </conditionalFormatting>
  <conditionalFormatting sqref="D3:D28">
    <cfRule type="colorScale" priority="169">
      <colorScale>
        <cfvo type="min"/>
        <cfvo type="percentile" val="50"/>
        <cfvo type="max"/>
        <color rgb="FFFBA7A9"/>
        <color theme="0"/>
        <color rgb="FFBBE3C5"/>
      </colorScale>
    </cfRule>
  </conditionalFormatting>
  <conditionalFormatting sqref="K3:K28">
    <cfRule type="colorScale" priority="167">
      <colorScale>
        <cfvo type="min"/>
        <cfvo type="percentile" val="50"/>
        <cfvo type="max"/>
        <color rgb="FFFBA7A9"/>
        <color theme="0"/>
        <color rgb="FFBBE3C5"/>
      </colorScale>
    </cfRule>
  </conditionalFormatting>
  <conditionalFormatting sqref="G3:G28">
    <cfRule type="colorScale" priority="166">
      <colorScale>
        <cfvo type="min"/>
        <cfvo type="percentile" val="50"/>
        <cfvo type="max"/>
        <color rgb="FFFBAFB1"/>
        <color theme="0"/>
        <color rgb="FFBBE3C5"/>
      </colorScale>
    </cfRule>
  </conditionalFormatting>
  <conditionalFormatting sqref="A3:A28">
    <cfRule type="colorScale" priority="194">
      <colorScale>
        <cfvo type="min"/>
        <cfvo type="percentile" val="50"/>
        <cfvo type="max"/>
        <color rgb="FFFBA7A9"/>
        <color theme="0"/>
        <color rgb="FFBBE3C5"/>
      </colorScale>
    </cfRule>
  </conditionalFormatting>
  <conditionalFormatting sqref="F3:F28">
    <cfRule type="colorScale" priority="168">
      <colorScale>
        <cfvo type="min"/>
        <cfvo type="percentile" val="50"/>
        <cfvo type="max"/>
        <color rgb="FFFBA7A9"/>
        <color theme="0"/>
        <color rgb="FFBBE3C5"/>
      </colorScale>
    </cfRule>
  </conditionalFormatting>
  <conditionalFormatting sqref="A3:K12 A23:K28 A14:K20 A13:B13 D13:K13 K17:K28 A21:B22 D21:K22">
    <cfRule type="containsText" dxfId="3" priority="128" operator="containsText" text=" ">
      <formula>NOT(ISERROR(SEARCH(" ",A3)))</formula>
    </cfRule>
  </conditionalFormatting>
  <conditionalFormatting sqref="K35:K56 K3:K28">
    <cfRule type="duplicateValues" dxfId="2" priority="126"/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5" id="{F94EFF74-8A45-40FA-A0A9-B692AD84F83F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F3:F28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Yicong Huang</cp:lastModifiedBy>
  <dcterms:created xsi:type="dcterms:W3CDTF">2015-08-05T12:31:03Z</dcterms:created>
  <dcterms:modified xsi:type="dcterms:W3CDTF">2016-01-07T09:40:54Z</dcterms:modified>
</cp:coreProperties>
</file>